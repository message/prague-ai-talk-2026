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Performance Metrics" sheetId="1" state="visible" r:id="rId1"/>
    <sheet xmlns:r="http://schemas.openxmlformats.org/officeDocument/2006/relationships" name="Cost Analysis" sheetId="2" state="visible" r:id="rId2"/>
    <sheet xmlns:r="http://schemas.openxmlformats.org/officeDocument/2006/relationships" name="User Survey Results" sheetId="3" state="visible" r:id="rId3"/>
    <sheet xmlns:r="http://schemas.openxmlformats.org/officeDocument/2006/relationships" name="Feature Usage Breakdown" sheetId="4" state="visible" r:id="rId4"/>
    <sheet xmlns:r="http://schemas.openxmlformats.org/officeDocument/2006/relationships" name="Monthly Trends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1" customWidth="1" min="3" max="3"/>
    <col width="19" customWidth="1" min="4" max="4"/>
    <col width="19" customWidth="1" min="5" max="5"/>
    <col width="25" customWidth="1" min="6" max="6"/>
    <col width="23" customWidth="1" min="7" max="7"/>
    <col width="23" customWidth="1" min="8" max="8"/>
    <col width="23" customWidth="1" min="9" max="9"/>
    <col width="25" customWidth="1" min="10" max="10"/>
    <col width="22" customWidth="1" min="11" max="11"/>
  </cols>
  <sheetData>
    <row r="1">
      <c r="A1" s="1" t="inlineStr">
        <is>
          <t>Department</t>
        </is>
      </c>
      <c r="B1" s="1" t="inlineStr">
        <is>
          <t>Team Name</t>
        </is>
      </c>
      <c r="C1" s="1" t="inlineStr">
        <is>
          <t>Team Size</t>
        </is>
      </c>
      <c r="D1" s="1" t="inlineStr">
        <is>
          <t>AI Tool Used</t>
        </is>
      </c>
      <c r="E1" s="1" t="inlineStr">
        <is>
          <t>Adoption Rate (%)</t>
        </is>
      </c>
      <c r="F1" s="1" t="inlineStr">
        <is>
          <t>Avg Daily Usage (hours)</t>
        </is>
      </c>
      <c r="G1" s="1" t="inlineStr">
        <is>
          <t>Tasks Completed (Oct)</t>
        </is>
      </c>
      <c r="H1" s="1" t="inlineStr">
        <is>
          <t>Tasks Completed (Nov)</t>
        </is>
      </c>
      <c r="I1" s="1" t="inlineStr">
        <is>
          <t>Tasks Completed (Dec)</t>
        </is>
      </c>
      <c r="J1" s="1" t="inlineStr">
        <is>
          <t>Productivity Change (%)</t>
        </is>
      </c>
      <c r="K1" s="1" t="inlineStr">
        <is>
          <t>Quality Score (1-10)</t>
        </is>
      </c>
    </row>
    <row r="2">
      <c r="A2" t="inlineStr">
        <is>
          <t>Engineering</t>
        </is>
      </c>
      <c r="B2" t="inlineStr">
        <is>
          <t>Engineering Team Alpha</t>
        </is>
      </c>
      <c r="C2" t="n">
        <v>12</v>
      </c>
      <c r="D2" t="inlineStr">
        <is>
          <t>GitHub Copilot</t>
        </is>
      </c>
      <c r="E2" t="n">
        <v>95</v>
      </c>
      <c r="F2" t="n">
        <v>4.8</v>
      </c>
      <c r="G2" t="n">
        <v>145</v>
      </c>
      <c r="H2" t="n">
        <v>162</v>
      </c>
      <c r="I2" t="n">
        <v>178</v>
      </c>
      <c r="J2" t="n">
        <v>85</v>
      </c>
      <c r="K2" t="n">
        <v>9</v>
      </c>
    </row>
    <row r="3">
      <c r="A3" t="inlineStr">
        <is>
          <t>Engineering</t>
        </is>
      </c>
      <c r="B3" t="inlineStr">
        <is>
          <t>Engineering Team Beta</t>
        </is>
      </c>
      <c r="C3" t="n">
        <v>15</v>
      </c>
      <c r="D3" t="inlineStr">
        <is>
          <t>GitHub Copilot</t>
        </is>
      </c>
      <c r="E3" t="n">
        <v>93</v>
      </c>
      <c r="F3" t="n">
        <v>4.5</v>
      </c>
      <c r="G3" t="n">
        <v>178</v>
      </c>
      <c r="H3" t="n">
        <v>195</v>
      </c>
      <c r="I3" t="n">
        <v>212</v>
      </c>
      <c r="J3" t="n">
        <v>72</v>
      </c>
      <c r="K3" t="n">
        <v>8</v>
      </c>
    </row>
    <row r="4">
      <c r="A4" t="inlineStr">
        <is>
          <t>Engineering</t>
        </is>
      </c>
      <c r="B4" t="inlineStr">
        <is>
          <t>Engineering Team Gamma</t>
        </is>
      </c>
      <c r="C4" t="n">
        <v>10</v>
      </c>
      <c r="D4" t="inlineStr">
        <is>
          <t>Claude + Copilot</t>
        </is>
      </c>
      <c r="E4" t="n">
        <v>87</v>
      </c>
      <c r="F4" t="n">
        <v>4.2</v>
      </c>
      <c r="G4" t="n">
        <v>98</v>
      </c>
      <c r="H4" t="n">
        <v>115</v>
      </c>
      <c r="I4" t="n">
        <v>128</v>
      </c>
      <c r="J4" t="n">
        <v>65</v>
      </c>
      <c r="K4" t="n">
        <v>9</v>
      </c>
    </row>
    <row r="5">
      <c r="A5" t="inlineStr">
        <is>
          <t>Engineering</t>
        </is>
      </c>
      <c r="B5" t="inlineStr">
        <is>
          <t>Backend Services Team</t>
        </is>
      </c>
      <c r="C5" t="n">
        <v>14</v>
      </c>
      <c r="D5" t="inlineStr">
        <is>
          <t>GitHub Copilot</t>
        </is>
      </c>
      <c r="E5" t="n">
        <v>89</v>
      </c>
      <c r="F5" t="n">
        <v>4.3</v>
      </c>
      <c r="G5" t="n">
        <v>142</v>
      </c>
      <c r="H5" t="n">
        <v>155</v>
      </c>
      <c r="I5" t="n">
        <v>168</v>
      </c>
      <c r="J5" t="n">
        <v>58</v>
      </c>
      <c r="K5" t="n">
        <v>8</v>
      </c>
    </row>
    <row r="6">
      <c r="A6" t="inlineStr">
        <is>
          <t>Engineering</t>
        </is>
      </c>
      <c r="B6" t="inlineStr">
        <is>
          <t>Frontend Team</t>
        </is>
      </c>
      <c r="C6" t="n">
        <v>11</v>
      </c>
      <c r="D6" t="inlineStr">
        <is>
          <t>Cursor</t>
        </is>
      </c>
      <c r="E6" t="n">
        <v>82</v>
      </c>
      <c r="F6" t="n">
        <v>3.9</v>
      </c>
      <c r="G6" t="n">
        <v>125</v>
      </c>
      <c r="H6" t="n">
        <v>138</v>
      </c>
      <c r="I6" t="n">
        <v>145</v>
      </c>
      <c r="J6" t="n">
        <v>52</v>
      </c>
      <c r="K6" t="n">
        <v>7</v>
      </c>
    </row>
    <row r="7">
      <c r="A7" t="inlineStr">
        <is>
          <t>Engineering</t>
        </is>
      </c>
      <c r="B7" t="inlineStr">
        <is>
          <t>Platform Team</t>
        </is>
      </c>
      <c r="C7" t="n">
        <v>13</v>
      </c>
      <c r="D7" t="inlineStr">
        <is>
          <t>GitHub Copilot</t>
        </is>
      </c>
      <c r="E7" t="n">
        <v>91</v>
      </c>
      <c r="F7" t="n">
        <v>4.6</v>
      </c>
      <c r="G7" t="n">
        <v>98</v>
      </c>
      <c r="H7" t="n">
        <v>112</v>
      </c>
      <c r="I7" t="n">
        <v>125</v>
      </c>
      <c r="J7" t="n">
        <v>62</v>
      </c>
      <c r="K7" t="n">
        <v>8</v>
      </c>
    </row>
    <row r="8">
      <c r="A8" t="inlineStr">
        <is>
          <t>Engineering</t>
        </is>
      </c>
      <c r="B8" t="inlineStr">
        <is>
          <t>Mobile Team</t>
        </is>
      </c>
      <c r="C8" t="n">
        <v>9</v>
      </c>
      <c r="D8" t="inlineStr">
        <is>
          <t>ChatGPT + Copilot</t>
        </is>
      </c>
      <c r="E8" t="n">
        <v>78</v>
      </c>
      <c r="F8" t="n">
        <v>3.5</v>
      </c>
      <c r="G8" t="n">
        <v>87</v>
      </c>
      <c r="H8" t="n">
        <v>92</v>
      </c>
      <c r="I8" t="n">
        <v>98</v>
      </c>
      <c r="J8" t="n">
        <v>48</v>
      </c>
      <c r="K8" t="n">
        <v>7</v>
      </c>
    </row>
    <row r="9">
      <c r="A9" t="inlineStr">
        <is>
          <t>Engineering</t>
        </is>
      </c>
      <c r="B9" t="inlineStr">
        <is>
          <t>QA Automation</t>
        </is>
      </c>
      <c r="C9" t="n">
        <v>8</v>
      </c>
      <c r="D9" t="inlineStr">
        <is>
          <t>GitHub Copilot</t>
        </is>
      </c>
      <c r="E9" t="n">
        <v>75</v>
      </c>
      <c r="F9" t="n">
        <v>3.2</v>
      </c>
      <c r="G9" t="n">
        <v>112</v>
      </c>
      <c r="H9" t="n">
        <v>118</v>
      </c>
      <c r="I9" t="n">
        <v>125</v>
      </c>
      <c r="J9" t="n">
        <v>45</v>
      </c>
      <c r="K9" t="n">
        <v>7</v>
      </c>
    </row>
    <row r="10">
      <c r="A10" t="inlineStr">
        <is>
          <t>Product</t>
        </is>
      </c>
      <c r="B10" t="inlineStr">
        <is>
          <t>Product Team A</t>
        </is>
      </c>
      <c r="C10" t="n">
        <v>8</v>
      </c>
      <c r="D10" t="inlineStr">
        <is>
          <t>Claude</t>
        </is>
      </c>
      <c r="E10" t="n">
        <v>68</v>
      </c>
      <c r="F10" t="n">
        <v>2.8</v>
      </c>
      <c r="G10" t="n">
        <v>42</v>
      </c>
      <c r="H10" t="n">
        <v>48</v>
      </c>
      <c r="I10" t="n">
        <v>52</v>
      </c>
      <c r="J10" t="n">
        <v>38</v>
      </c>
      <c r="K10" t="n">
        <v>7</v>
      </c>
    </row>
    <row r="11">
      <c r="A11" t="inlineStr">
        <is>
          <t>Product</t>
        </is>
      </c>
      <c r="B11" t="inlineStr">
        <is>
          <t>Product Team B</t>
        </is>
      </c>
      <c r="C11" t="n">
        <v>9</v>
      </c>
      <c r="D11" t="inlineStr">
        <is>
          <t>ChatGPT</t>
        </is>
      </c>
      <c r="E11" t="n">
        <v>65</v>
      </c>
      <c r="F11" t="n">
        <v>2.5</v>
      </c>
      <c r="G11" t="n">
        <v>38</v>
      </c>
      <c r="H11" t="n">
        <v>45</v>
      </c>
      <c r="I11" t="n">
        <v>51</v>
      </c>
      <c r="J11" t="n">
        <v>42</v>
      </c>
      <c r="K11" t="n">
        <v>8</v>
      </c>
    </row>
    <row r="12">
      <c r="A12" t="inlineStr">
        <is>
          <t>Product</t>
        </is>
      </c>
      <c r="B12" t="inlineStr">
        <is>
          <t>Design Team</t>
        </is>
      </c>
      <c r="C12" t="n">
        <v>6</v>
      </c>
      <c r="D12" t="inlineStr">
        <is>
          <t>Figma AI</t>
        </is>
      </c>
      <c r="E12" t="n">
        <v>58</v>
      </c>
      <c r="F12" t="n">
        <v>2.2</v>
      </c>
      <c r="G12" t="n">
        <v>28</v>
      </c>
      <c r="H12" t="n">
        <v>32</v>
      </c>
      <c r="I12" t="n">
        <v>35</v>
      </c>
      <c r="J12" t="n">
        <v>28</v>
      </c>
      <c r="K12" t="n">
        <v>6</v>
      </c>
    </row>
    <row r="13">
      <c r="A13" t="inlineStr">
        <is>
          <t>Product</t>
        </is>
      </c>
      <c r="B13" t="inlineStr">
        <is>
          <t>User Research</t>
        </is>
      </c>
      <c r="C13" t="n">
        <v>4</v>
      </c>
      <c r="D13" t="inlineStr">
        <is>
          <t>Claude</t>
        </is>
      </c>
      <c r="E13" t="n">
        <v>72</v>
      </c>
      <c r="F13" t="n">
        <v>3.1</v>
      </c>
      <c r="G13" t="n">
        <v>18</v>
      </c>
      <c r="H13" t="n">
        <v>22</v>
      </c>
      <c r="I13" t="n">
        <v>24</v>
      </c>
      <c r="J13" t="n">
        <v>35</v>
      </c>
      <c r="K13" t="n">
        <v>7</v>
      </c>
    </row>
    <row r="14">
      <c r="A14" t="inlineStr">
        <is>
          <t>Marketing</t>
        </is>
      </c>
      <c r="B14" t="inlineStr">
        <is>
          <t>Content Team</t>
        </is>
      </c>
      <c r="C14" t="n">
        <v>8</v>
      </c>
      <c r="D14" t="inlineStr">
        <is>
          <t>Jasper</t>
        </is>
      </c>
      <c r="E14" t="n">
        <v>88</v>
      </c>
      <c r="F14" t="n">
        <v>3.8</v>
      </c>
      <c r="G14" t="n">
        <v>125</v>
      </c>
      <c r="H14" t="n">
        <v>148</v>
      </c>
      <c r="I14" t="n">
        <v>165</v>
      </c>
      <c r="J14" t="n">
        <v>68</v>
      </c>
      <c r="K14" t="n">
        <v>8</v>
      </c>
    </row>
    <row r="15">
      <c r="A15" t="inlineStr">
        <is>
          <t>Marketing</t>
        </is>
      </c>
      <c r="B15" t="inlineStr">
        <is>
          <t>Social Media</t>
        </is>
      </c>
      <c r="C15" t="n">
        <v>5</v>
      </c>
      <c r="D15" t="inlineStr">
        <is>
          <t>ChatGPT</t>
        </is>
      </c>
      <c r="E15" t="n">
        <v>65</v>
      </c>
      <c r="F15" t="n">
        <v>2.8</v>
      </c>
      <c r="G15" t="n">
        <v>82</v>
      </c>
      <c r="H15" t="n">
        <v>88</v>
      </c>
      <c r="I15" t="n">
        <v>92</v>
      </c>
      <c r="J15" t="n">
        <v>32</v>
      </c>
      <c r="K15" t="n">
        <v>6</v>
      </c>
    </row>
    <row r="16">
      <c r="A16" t="inlineStr">
        <is>
          <t>Marketing</t>
        </is>
      </c>
      <c r="B16" t="inlineStr">
        <is>
          <t>Demand Gen</t>
        </is>
      </c>
      <c r="C16" t="n">
        <v>7</v>
      </c>
      <c r="D16" t="inlineStr">
        <is>
          <t>Copy.ai</t>
        </is>
      </c>
      <c r="E16" t="n">
        <v>42</v>
      </c>
      <c r="F16" t="n">
        <v>1.5</v>
      </c>
      <c r="G16" t="n">
        <v>45</v>
      </c>
      <c r="H16" t="n">
        <v>48</v>
      </c>
      <c r="I16" t="n">
        <v>47</v>
      </c>
      <c r="J16" t="n">
        <v>12</v>
      </c>
      <c r="K16" t="n">
        <v>5</v>
      </c>
    </row>
    <row r="17">
      <c r="A17" t="inlineStr">
        <is>
          <t>Marketing</t>
        </is>
      </c>
      <c r="B17" t="inlineStr">
        <is>
          <t>Creative Team</t>
        </is>
      </c>
      <c r="C17" t="n">
        <v>4</v>
      </c>
      <c r="D17" t="inlineStr">
        <is>
          <t>Midjourney</t>
        </is>
      </c>
      <c r="E17" t="n">
        <v>78</v>
      </c>
      <c r="F17" t="n">
        <v>3.2</v>
      </c>
      <c r="G17" t="n">
        <v>34</v>
      </c>
      <c r="H17" t="n">
        <v>38</v>
      </c>
      <c r="I17" t="n">
        <v>42</v>
      </c>
      <c r="J17" t="n">
        <v>45</v>
      </c>
      <c r="K17" t="n">
        <v>8</v>
      </c>
    </row>
    <row r="18">
      <c r="A18" t="inlineStr">
        <is>
          <t>Operations</t>
        </is>
      </c>
      <c r="B18" t="inlineStr">
        <is>
          <t>Finance Team</t>
        </is>
      </c>
      <c r="C18" t="n">
        <v>9</v>
      </c>
      <c r="D18" t="inlineStr">
        <is>
          <t>ChatGPT</t>
        </is>
      </c>
      <c r="E18" t="n">
        <v>52</v>
      </c>
      <c r="F18" t="n">
        <v>2.1</v>
      </c>
      <c r="G18" t="n">
        <v>65</v>
      </c>
      <c r="H18" t="n">
        <v>68</v>
      </c>
      <c r="I18" t="n">
        <v>72</v>
      </c>
      <c r="J18" t="n">
        <v>25</v>
      </c>
      <c r="K18" t="n">
        <v>6</v>
      </c>
    </row>
    <row r="19">
      <c r="A19" t="inlineStr">
        <is>
          <t>Operations</t>
        </is>
      </c>
      <c r="B19" t="inlineStr">
        <is>
          <t>HR Team</t>
        </is>
      </c>
      <c r="C19" t="n">
        <v>7</v>
      </c>
      <c r="D19" t="inlineStr">
        <is>
          <t>ChatGPT</t>
        </is>
      </c>
      <c r="E19" t="n">
        <v>31</v>
      </c>
      <c r="F19" t="n">
        <v>1.2</v>
      </c>
      <c r="G19" t="n">
        <v>48</v>
      </c>
      <c r="H19" t="n">
        <v>52</v>
      </c>
      <c r="I19" t="n">
        <v>51</v>
      </c>
      <c r="J19" t="n">
        <v>15</v>
      </c>
      <c r="K19" t="n">
        <v>5</v>
      </c>
    </row>
    <row r="20">
      <c r="A20" t="inlineStr">
        <is>
          <t>Operations</t>
        </is>
      </c>
      <c r="B20" t="inlineStr">
        <is>
          <t>Legal Team</t>
        </is>
      </c>
      <c r="C20" t="n">
        <v>5</v>
      </c>
      <c r="D20" t="inlineStr">
        <is>
          <t>Claude</t>
        </is>
      </c>
      <c r="E20" t="n">
        <v>28</v>
      </c>
      <c r="F20" t="n">
        <v>0.9</v>
      </c>
      <c r="G20" t="n">
        <v>22</v>
      </c>
      <c r="H20" t="n">
        <v>24</v>
      </c>
      <c r="I20" t="n">
        <v>23</v>
      </c>
      <c r="J20" t="n">
        <v>8</v>
      </c>
      <c r="K20" t="n">
        <v>5</v>
      </c>
    </row>
    <row r="21">
      <c r="A21" t="inlineStr">
        <is>
          <t>Operations</t>
        </is>
      </c>
      <c r="B21" t="inlineStr">
        <is>
          <t>Facilities</t>
        </is>
      </c>
      <c r="C21" t="n">
        <v>4</v>
      </c>
      <c r="D21" t="inlineStr">
        <is>
          <t>None</t>
        </is>
      </c>
      <c r="E21" t="n">
        <v>15</v>
      </c>
      <c r="F21" t="n">
        <v>0.5</v>
      </c>
      <c r="G21" t="n">
        <v>18</v>
      </c>
      <c r="H21" t="n">
        <v>18</v>
      </c>
      <c r="I21" t="n">
        <v>19</v>
      </c>
      <c r="J21" t="n">
        <v>2</v>
      </c>
      <c r="K21" t="n">
        <v>4</v>
      </c>
    </row>
    <row r="22">
      <c r="A22" t="inlineStr">
        <is>
          <t>Operations</t>
        </is>
      </c>
      <c r="B22" t="inlineStr">
        <is>
          <t>Operations Team C</t>
        </is>
      </c>
      <c r="C22" t="n">
        <v>8</v>
      </c>
      <c r="D22" t="inlineStr">
        <is>
          <t>Various</t>
        </is>
      </c>
      <c r="E22" t="n">
        <v>12</v>
      </c>
      <c r="F22" t="n">
        <v>0.4</v>
      </c>
      <c r="G22" t="n">
        <v>42</v>
      </c>
      <c r="H22" t="n">
        <v>41</v>
      </c>
      <c r="I22" t="n">
        <v>43</v>
      </c>
      <c r="J22" t="n">
        <v>-5</v>
      </c>
      <c r="K22" t="n">
        <v>4</v>
      </c>
    </row>
    <row r="23">
      <c r="A23" t="inlineStr">
        <is>
          <t>Customer Support</t>
        </is>
      </c>
      <c r="B23" t="inlineStr">
        <is>
          <t>Support Team A</t>
        </is>
      </c>
      <c r="C23" t="n">
        <v>12</v>
      </c>
      <c r="D23" t="inlineStr">
        <is>
          <t>ChatGPT</t>
        </is>
      </c>
      <c r="E23" t="n">
        <v>22</v>
      </c>
      <c r="F23" t="n">
        <v>1.1</v>
      </c>
      <c r="G23" t="n">
        <v>245</v>
      </c>
      <c r="H23" t="n">
        <v>258</v>
      </c>
      <c r="I23" t="n">
        <v>262</v>
      </c>
      <c r="J23" t="n">
        <v>18</v>
      </c>
      <c r="K23" t="n">
        <v>6</v>
      </c>
    </row>
    <row r="24">
      <c r="A24" t="inlineStr">
        <is>
          <t>Customer Support</t>
        </is>
      </c>
      <c r="B24" t="inlineStr">
        <is>
          <t>Support Team B</t>
        </is>
      </c>
      <c r="C24" t="n">
        <v>11</v>
      </c>
      <c r="D24" t="inlineStr">
        <is>
          <t>ChatGPT</t>
        </is>
      </c>
      <c r="E24" t="n">
        <v>18</v>
      </c>
      <c r="F24" t="n">
        <v>0.9</v>
      </c>
      <c r="G24" t="n">
        <v>228</v>
      </c>
      <c r="H24" t="n">
        <v>235</v>
      </c>
      <c r="I24" t="n">
        <v>240</v>
      </c>
      <c r="J24" t="n">
        <v>12</v>
      </c>
      <c r="K24" t="n">
        <v>5</v>
      </c>
    </row>
    <row r="25">
      <c r="A25" t="inlineStr">
        <is>
          <t>Customer Support</t>
        </is>
      </c>
      <c r="B25" t="inlineStr">
        <is>
          <t>Support Team C</t>
        </is>
      </c>
      <c r="C25" t="n">
        <v>10</v>
      </c>
      <c r="D25" t="inlineStr">
        <is>
          <t>None</t>
        </is>
      </c>
      <c r="E25" t="n">
        <v>8</v>
      </c>
      <c r="F25" t="n">
        <v>0.3</v>
      </c>
      <c r="G25" t="n">
        <v>195</v>
      </c>
      <c r="H25" t="n">
        <v>198</v>
      </c>
      <c r="I25" t="n">
        <v>197</v>
      </c>
      <c r="J25" t="n">
        <v>3</v>
      </c>
      <c r="K25" t="n">
        <v>5</v>
      </c>
    </row>
    <row r="26">
      <c r="A26" t="inlineStr">
        <is>
          <t>Engineering</t>
        </is>
      </c>
      <c r="B26" t="inlineStr">
        <is>
          <t>DevOps Individual</t>
        </is>
      </c>
      <c r="C26" t="n">
        <v>1</v>
      </c>
      <c r="D26" t="inlineStr">
        <is>
          <t>Multiple AI Tools</t>
        </is>
      </c>
      <c r="E26" t="n">
        <v>100</v>
      </c>
      <c r="F26" t="n">
        <v>8.5</v>
      </c>
      <c r="G26" t="n">
        <v>45</v>
      </c>
      <c r="H26" t="n">
        <v>52</v>
      </c>
      <c r="I26" t="n">
        <v>58</v>
      </c>
      <c r="J26" t="n">
        <v>72</v>
      </c>
      <c r="K2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4" customWidth="1" min="4" max="4"/>
    <col width="20" customWidth="1" min="5" max="5"/>
    <col width="22" customWidth="1" min="6" max="6"/>
    <col width="24" customWidth="1" min="7" max="7"/>
    <col width="28" customWidth="1" min="8" max="8"/>
    <col width="13" customWidth="1" min="9" max="9"/>
    <col width="26" customWidth="1" min="10" max="10"/>
  </cols>
  <sheetData>
    <row r="1">
      <c r="A1" s="1" t="inlineStr">
        <is>
          <t>Month</t>
        </is>
      </c>
      <c r="B1" s="1" t="inlineStr">
        <is>
          <t>Department</t>
        </is>
      </c>
      <c r="C1" s="1" t="inlineStr">
        <is>
          <t>Tool Name</t>
        </is>
      </c>
      <c r="D1" s="1" t="inlineStr">
        <is>
          <t>License Type</t>
        </is>
      </c>
      <c r="E1" s="1" t="inlineStr">
        <is>
          <t>Number of Licenses</t>
        </is>
      </c>
      <c r="F1" s="1" t="inlineStr">
        <is>
          <t>Cost per License (€)</t>
        </is>
      </c>
      <c r="G1" s="1" t="inlineStr">
        <is>
          <t>Total Monthly Cost (€)</t>
        </is>
      </c>
      <c r="H1" s="1" t="inlineStr">
        <is>
          <t>Previous Solution Cost (€)</t>
        </is>
      </c>
      <c r="I1" s="1" t="inlineStr">
        <is>
          <t>Savings (€)</t>
        </is>
      </c>
      <c r="J1" s="1" t="inlineStr">
        <is>
          <t>ROI (%)</t>
        </is>
      </c>
    </row>
    <row r="2">
      <c r="A2" t="inlineStr">
        <is>
          <t>October</t>
        </is>
      </c>
      <c r="B2" t="inlineStr">
        <is>
          <t>Engineering</t>
        </is>
      </c>
      <c r="C2" t="inlineStr">
        <is>
          <t>GitHub Copilot</t>
        </is>
      </c>
      <c r="D2" t="inlineStr">
        <is>
          <t>Per User</t>
        </is>
      </c>
      <c r="E2" t="n">
        <v>156</v>
      </c>
      <c r="F2" t="n">
        <v>39</v>
      </c>
      <c r="G2">
        <f>E2*F2</f>
        <v/>
      </c>
      <c r="H2" t="n">
        <v>0</v>
      </c>
      <c r="I2">
        <f>H2-G2</f>
        <v/>
      </c>
      <c r="J2">
        <f>IF(G2&gt;0,I2/G2*100,0)</f>
        <v/>
      </c>
    </row>
    <row r="3">
      <c r="A3" t="inlineStr">
        <is>
          <t>October</t>
        </is>
      </c>
      <c r="B3" t="inlineStr">
        <is>
          <t>Engineering</t>
        </is>
      </c>
      <c r="C3" t="inlineStr">
        <is>
          <t>ChatGPT Team</t>
        </is>
      </c>
      <c r="D3" t="inlineStr">
        <is>
          <t>Per User</t>
        </is>
      </c>
      <c r="E3" t="n">
        <v>85</v>
      </c>
      <c r="F3" t="n">
        <v>25</v>
      </c>
      <c r="G3">
        <f>E3*F3</f>
        <v/>
      </c>
      <c r="H3" t="n">
        <v>0</v>
      </c>
      <c r="I3">
        <f>H3-G3</f>
        <v/>
      </c>
      <c r="J3">
        <f>IF(G3&gt;0,I3/G3*100,0)</f>
        <v/>
      </c>
    </row>
    <row r="4">
      <c r="A4" t="inlineStr">
        <is>
          <t>October</t>
        </is>
      </c>
      <c r="B4" t="inlineStr">
        <is>
          <t>Engineering</t>
        </is>
      </c>
      <c r="C4" t="inlineStr">
        <is>
          <t>Claude Pro</t>
        </is>
      </c>
      <c r="D4" t="inlineStr">
        <is>
          <t>Per User</t>
        </is>
      </c>
      <c r="E4" t="n">
        <v>42</v>
      </c>
      <c r="F4" t="n">
        <v>20</v>
      </c>
      <c r="G4">
        <f>E4*F4</f>
        <v/>
      </c>
      <c r="H4" t="n">
        <v>0</v>
      </c>
      <c r="I4">
        <f>H4-G4</f>
        <v/>
      </c>
      <c r="J4">
        <f>IF(G4&gt;0,I4/G4*100,0)</f>
        <v/>
      </c>
    </row>
    <row r="5">
      <c r="A5" t="inlineStr">
        <is>
          <t>October</t>
        </is>
      </c>
      <c r="B5" t="inlineStr">
        <is>
          <t>Product</t>
        </is>
      </c>
      <c r="C5" t="inlineStr">
        <is>
          <t>Claude Pro</t>
        </is>
      </c>
      <c r="D5" t="inlineStr">
        <is>
          <t>Per User</t>
        </is>
      </c>
      <c r="E5" t="n">
        <v>18</v>
      </c>
      <c r="F5" t="n">
        <v>20</v>
      </c>
      <c r="G5">
        <f>E5*F5</f>
        <v/>
      </c>
      <c r="H5" t="n">
        <v>0</v>
      </c>
      <c r="I5">
        <f>H5-G5</f>
        <v/>
      </c>
      <c r="J5">
        <f>IF(G5&gt;0,I5/G5*100,0)</f>
        <v/>
      </c>
    </row>
    <row r="6">
      <c r="A6" t="inlineStr">
        <is>
          <t>October</t>
        </is>
      </c>
      <c r="B6" t="inlineStr">
        <is>
          <t>Product</t>
        </is>
      </c>
      <c r="C6" t="inlineStr">
        <is>
          <t>Notion AI</t>
        </is>
      </c>
      <c r="D6" t="inlineStr">
        <is>
          <t>Per User</t>
        </is>
      </c>
      <c r="E6" t="n">
        <v>12</v>
      </c>
      <c r="F6" t="n">
        <v>10</v>
      </c>
      <c r="G6">
        <f>E6*F6</f>
        <v/>
      </c>
      <c r="H6" t="n">
        <v>0</v>
      </c>
      <c r="I6">
        <f>H6-G6</f>
        <v/>
      </c>
      <c r="J6">
        <f>IF(G6&gt;0,I6/G6*100,0)</f>
        <v/>
      </c>
    </row>
    <row r="7">
      <c r="A7" t="inlineStr">
        <is>
          <t>October</t>
        </is>
      </c>
      <c r="B7" t="inlineStr">
        <is>
          <t>Marketing</t>
        </is>
      </c>
      <c r="C7" t="inlineStr">
        <is>
          <t>Jasper</t>
        </is>
      </c>
      <c r="D7" t="inlineStr">
        <is>
          <t>Team</t>
        </is>
      </c>
      <c r="E7" t="n">
        <v>1</v>
      </c>
      <c r="F7" t="n">
        <v>99</v>
      </c>
      <c r="G7">
        <f>E7*F7</f>
        <v/>
      </c>
      <c r="H7" t="n">
        <v>1200</v>
      </c>
      <c r="I7">
        <f>H7-G7</f>
        <v/>
      </c>
      <c r="J7">
        <f>IF(G7&gt;0,I7/G7*100,0)</f>
        <v/>
      </c>
    </row>
    <row r="8">
      <c r="A8" t="inlineStr">
        <is>
          <t>October</t>
        </is>
      </c>
      <c r="B8" t="inlineStr">
        <is>
          <t>Marketing</t>
        </is>
      </c>
      <c r="C8" t="inlineStr">
        <is>
          <t>Copy.ai</t>
        </is>
      </c>
      <c r="D8" t="inlineStr">
        <is>
          <t>Team</t>
        </is>
      </c>
      <c r="E8" t="n">
        <v>1</v>
      </c>
      <c r="F8" t="n">
        <v>49</v>
      </c>
      <c r="G8">
        <f>E8*F8</f>
        <v/>
      </c>
      <c r="H8" t="n">
        <v>0</v>
      </c>
      <c r="I8">
        <f>H8-G8</f>
        <v/>
      </c>
      <c r="J8">
        <f>IF(G8&gt;0,I8/G8*100,0)</f>
        <v/>
      </c>
    </row>
    <row r="9">
      <c r="A9" t="inlineStr">
        <is>
          <t>October</t>
        </is>
      </c>
      <c r="B9" t="inlineStr">
        <is>
          <t>Marketing</t>
        </is>
      </c>
      <c r="C9" t="inlineStr">
        <is>
          <t>Midjourney</t>
        </is>
      </c>
      <c r="D9" t="inlineStr">
        <is>
          <t>Team</t>
        </is>
      </c>
      <c r="E9" t="n">
        <v>1</v>
      </c>
      <c r="F9" t="n">
        <v>30</v>
      </c>
      <c r="G9">
        <f>E9*F9</f>
        <v/>
      </c>
      <c r="H9" t="n">
        <v>1200</v>
      </c>
      <c r="I9">
        <f>H9-G9</f>
        <v/>
      </c>
      <c r="J9">
        <f>IF(G9&gt;0,I9/G9*100,0)</f>
        <v/>
      </c>
    </row>
    <row r="10">
      <c r="A10" t="inlineStr">
        <is>
          <t>October</t>
        </is>
      </c>
      <c r="B10" t="inlineStr">
        <is>
          <t>Marketing</t>
        </is>
      </c>
      <c r="C10" t="inlineStr">
        <is>
          <t>ChatGPT Plus</t>
        </is>
      </c>
      <c r="D10" t="inlineStr">
        <is>
          <t>Per User</t>
        </is>
      </c>
      <c r="E10" t="n">
        <v>11</v>
      </c>
      <c r="F10" t="n">
        <v>20</v>
      </c>
      <c r="G10">
        <f>E10*F10</f>
        <v/>
      </c>
      <c r="H10" t="n">
        <v>0</v>
      </c>
      <c r="I10">
        <f>H10-G10</f>
        <v/>
      </c>
      <c r="J10">
        <f>IF(G10&gt;0,I10/G10*100,0)</f>
        <v/>
      </c>
    </row>
    <row r="11">
      <c r="A11" t="inlineStr">
        <is>
          <t>October</t>
        </is>
      </c>
      <c r="B11" t="inlineStr">
        <is>
          <t>Operations</t>
        </is>
      </c>
      <c r="C11" t="inlineStr">
        <is>
          <t>ChatGPT Plus</t>
        </is>
      </c>
      <c r="D11" t="inlineStr">
        <is>
          <t>Per User</t>
        </is>
      </c>
      <c r="E11" t="n">
        <v>14</v>
      </c>
      <c r="F11" t="n">
        <v>20</v>
      </c>
      <c r="G11">
        <f>E11*F11</f>
        <v/>
      </c>
      <c r="H11" t="n">
        <v>0</v>
      </c>
      <c r="I11">
        <f>H11-G11</f>
        <v/>
      </c>
      <c r="J11">
        <f>IF(G11&gt;0,I11/G11*100,0)</f>
        <v/>
      </c>
    </row>
    <row r="12">
      <c r="A12" t="inlineStr">
        <is>
          <t>October</t>
        </is>
      </c>
      <c r="B12" t="inlineStr">
        <is>
          <t>Customer Support</t>
        </is>
      </c>
      <c r="C12" t="inlineStr">
        <is>
          <t>ChatGPT Plus</t>
        </is>
      </c>
      <c r="D12" t="inlineStr">
        <is>
          <t>Per User</t>
        </is>
      </c>
      <c r="E12" t="n">
        <v>8</v>
      </c>
      <c r="F12" t="n">
        <v>20</v>
      </c>
      <c r="G12">
        <f>E12*F12</f>
        <v/>
      </c>
      <c r="H12" t="n">
        <v>0</v>
      </c>
      <c r="I12">
        <f>H12-G12</f>
        <v/>
      </c>
      <c r="J12">
        <f>IF(G12&gt;0,I12/G12*100,0)</f>
        <v/>
      </c>
    </row>
    <row r="13">
      <c r="A13" t="inlineStr">
        <is>
          <t>October</t>
        </is>
      </c>
      <c r="B13" t="inlineStr">
        <is>
          <t>Engineering</t>
        </is>
      </c>
      <c r="C13" t="inlineStr">
        <is>
          <t>Cursor</t>
        </is>
      </c>
      <c r="D13" t="inlineStr">
        <is>
          <t>Per User</t>
        </is>
      </c>
      <c r="E13" t="n">
        <v>37</v>
      </c>
      <c r="F13" t="n">
        <v>20</v>
      </c>
      <c r="G13">
        <f>E13*F13</f>
        <v/>
      </c>
      <c r="H13" t="n">
        <v>0</v>
      </c>
      <c r="I13">
        <f>H13-G13</f>
        <v/>
      </c>
      <c r="J13">
        <f>IF(G13&gt;0,I13/G13*100,0)</f>
        <v/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November</t>
        </is>
      </c>
      <c r="B15" t="inlineStr">
        <is>
          <t>Engineering</t>
        </is>
      </c>
      <c r="C15" t="inlineStr">
        <is>
          <t>GitHub Copilot</t>
        </is>
      </c>
      <c r="D15" t="inlineStr">
        <is>
          <t>Per User</t>
        </is>
      </c>
      <c r="E15" t="n">
        <v>158</v>
      </c>
      <c r="F15" t="n">
        <v>39</v>
      </c>
      <c r="G15">
        <f>E15*F15</f>
        <v/>
      </c>
      <c r="H15" t="n">
        <v>0</v>
      </c>
      <c r="I15">
        <f>H15-G15</f>
        <v/>
      </c>
      <c r="J15">
        <f>IF(G15&gt;0,I15/G15*100,0)</f>
        <v/>
      </c>
    </row>
    <row r="16">
      <c r="A16" t="inlineStr">
        <is>
          <t>November</t>
        </is>
      </c>
      <c r="B16" t="inlineStr">
        <is>
          <t>Engineering</t>
        </is>
      </c>
      <c r="C16" t="inlineStr">
        <is>
          <t>ChatGPT Team</t>
        </is>
      </c>
      <c r="D16" t="inlineStr">
        <is>
          <t>Per User</t>
        </is>
      </c>
      <c r="E16" t="n">
        <v>92</v>
      </c>
      <c r="F16" t="n">
        <v>25</v>
      </c>
      <c r="G16">
        <f>E16*F16</f>
        <v/>
      </c>
      <c r="H16" t="n">
        <v>0</v>
      </c>
      <c r="I16">
        <f>H16-G16</f>
        <v/>
      </c>
      <c r="J16">
        <f>IF(G16&gt;0,I16/G16*100,0)</f>
        <v/>
      </c>
    </row>
    <row r="17">
      <c r="A17" t="inlineStr">
        <is>
          <t>November</t>
        </is>
      </c>
      <c r="B17" t="inlineStr">
        <is>
          <t>Engineering</t>
        </is>
      </c>
      <c r="C17" t="inlineStr">
        <is>
          <t>Claude Pro</t>
        </is>
      </c>
      <c r="D17" t="inlineStr">
        <is>
          <t>Per User</t>
        </is>
      </c>
      <c r="E17" t="n">
        <v>45</v>
      </c>
      <c r="F17" t="n">
        <v>20</v>
      </c>
      <c r="G17">
        <f>E17*F17</f>
        <v/>
      </c>
      <c r="H17" t="n">
        <v>0</v>
      </c>
      <c r="I17">
        <f>H17-G17</f>
        <v/>
      </c>
      <c r="J17">
        <f>IF(G17&gt;0,I17/G17*100,0)</f>
        <v/>
      </c>
    </row>
    <row r="18">
      <c r="A18" t="inlineStr">
        <is>
          <t>November</t>
        </is>
      </c>
      <c r="B18" t="inlineStr">
        <is>
          <t>Product</t>
        </is>
      </c>
      <c r="C18" t="inlineStr">
        <is>
          <t>Claude Pro</t>
        </is>
      </c>
      <c r="D18" t="inlineStr">
        <is>
          <t>Per User</t>
        </is>
      </c>
      <c r="E18" t="n">
        <v>22</v>
      </c>
      <c r="F18" t="n">
        <v>20</v>
      </c>
      <c r="G18">
        <f>E18*F18</f>
        <v/>
      </c>
      <c r="H18" t="n">
        <v>0</v>
      </c>
      <c r="I18">
        <f>H18-G18</f>
        <v/>
      </c>
      <c r="J18">
        <f>IF(G18&gt;0,I18/G18*100,0)</f>
        <v/>
      </c>
    </row>
    <row r="19">
      <c r="A19" t="inlineStr">
        <is>
          <t>November</t>
        </is>
      </c>
      <c r="B19" t="inlineStr">
        <is>
          <t>Product</t>
        </is>
      </c>
      <c r="C19" t="inlineStr">
        <is>
          <t>Notion AI</t>
        </is>
      </c>
      <c r="D19" t="inlineStr">
        <is>
          <t>Per User</t>
        </is>
      </c>
      <c r="E19" t="n">
        <v>14</v>
      </c>
      <c r="F19" t="n">
        <v>10</v>
      </c>
      <c r="G19">
        <f>E19*F19</f>
        <v/>
      </c>
      <c r="H19" t="n">
        <v>0</v>
      </c>
      <c r="I19">
        <f>H19-G19</f>
        <v/>
      </c>
      <c r="J19">
        <f>IF(G19&gt;0,I19/G19*100,0)</f>
        <v/>
      </c>
    </row>
    <row r="20">
      <c r="A20" t="inlineStr">
        <is>
          <t>November</t>
        </is>
      </c>
      <c r="B20" t="inlineStr">
        <is>
          <t>Marketing</t>
        </is>
      </c>
      <c r="C20" t="inlineStr">
        <is>
          <t>Jasper</t>
        </is>
      </c>
      <c r="D20" t="inlineStr">
        <is>
          <t>Team</t>
        </is>
      </c>
      <c r="E20" t="n">
        <v>1</v>
      </c>
      <c r="F20" t="n">
        <v>99</v>
      </c>
      <c r="G20">
        <f>E20*F20</f>
        <v/>
      </c>
      <c r="H20" t="n">
        <v>1150</v>
      </c>
      <c r="I20">
        <f>H20-G20</f>
        <v/>
      </c>
      <c r="J20">
        <f>IF(G20&gt;0,I20/G20*100,0)</f>
        <v/>
      </c>
    </row>
    <row r="21">
      <c r="A21" t="inlineStr">
        <is>
          <t>November</t>
        </is>
      </c>
      <c r="B21" t="inlineStr">
        <is>
          <t>Marketing</t>
        </is>
      </c>
      <c r="C21" t="inlineStr">
        <is>
          <t>Copy.ai</t>
        </is>
      </c>
      <c r="D21" t="inlineStr">
        <is>
          <t>Team</t>
        </is>
      </c>
      <c r="E21" t="n">
        <v>1</v>
      </c>
      <c r="F21" t="n">
        <v>49</v>
      </c>
      <c r="G21">
        <f>E21*F21</f>
        <v/>
      </c>
      <c r="H21" t="n">
        <v>0</v>
      </c>
      <c r="I21">
        <f>H21-G21</f>
        <v/>
      </c>
      <c r="J21">
        <f>IF(G21&gt;0,I21/G21*100,0)</f>
        <v/>
      </c>
    </row>
    <row r="22">
      <c r="A22" t="inlineStr">
        <is>
          <t>November</t>
        </is>
      </c>
      <c r="B22" t="inlineStr">
        <is>
          <t>Marketing</t>
        </is>
      </c>
      <c r="C22" t="inlineStr">
        <is>
          <t>Midjourney</t>
        </is>
      </c>
      <c r="D22" t="inlineStr">
        <is>
          <t>Team</t>
        </is>
      </c>
      <c r="E22" t="n">
        <v>2</v>
      </c>
      <c r="F22" t="n">
        <v>30</v>
      </c>
      <c r="G22">
        <f>E22*F22</f>
        <v/>
      </c>
      <c r="H22" t="n">
        <v>1150</v>
      </c>
      <c r="I22">
        <f>H22-G22</f>
        <v/>
      </c>
      <c r="J22">
        <f>IF(G22&gt;0,I22/G22*100,0)</f>
        <v/>
      </c>
    </row>
    <row r="23">
      <c r="A23" t="inlineStr">
        <is>
          <t>November</t>
        </is>
      </c>
      <c r="B23" t="inlineStr">
        <is>
          <t>Marketing</t>
        </is>
      </c>
      <c r="C23" t="inlineStr">
        <is>
          <t>ChatGPT Plus</t>
        </is>
      </c>
      <c r="D23" t="inlineStr">
        <is>
          <t>Per User</t>
        </is>
      </c>
      <c r="E23" t="n">
        <v>13</v>
      </c>
      <c r="F23" t="n">
        <v>20</v>
      </c>
      <c r="G23">
        <f>E23*F23</f>
        <v/>
      </c>
      <c r="H23" t="n">
        <v>0</v>
      </c>
      <c r="I23">
        <f>H23-G23</f>
        <v/>
      </c>
      <c r="J23">
        <f>IF(G23&gt;0,I23/G23*100,0)</f>
        <v/>
      </c>
    </row>
    <row r="24">
      <c r="A24" t="inlineStr">
        <is>
          <t>November</t>
        </is>
      </c>
      <c r="B24" t="inlineStr">
        <is>
          <t>Operations</t>
        </is>
      </c>
      <c r="C24" t="inlineStr">
        <is>
          <t>ChatGPT Plus</t>
        </is>
      </c>
      <c r="D24" t="inlineStr">
        <is>
          <t>Per User</t>
        </is>
      </c>
      <c r="E24" t="n">
        <v>16</v>
      </c>
      <c r="F24" t="n">
        <v>20</v>
      </c>
      <c r="G24">
        <f>E24*F24</f>
        <v/>
      </c>
      <c r="H24" t="n">
        <v>0</v>
      </c>
      <c r="I24">
        <f>H24-G24</f>
        <v/>
      </c>
      <c r="J24">
        <f>IF(G24&gt;0,I24/G24*100,0)</f>
        <v/>
      </c>
    </row>
    <row r="25">
      <c r="A25" t="inlineStr">
        <is>
          <t>November</t>
        </is>
      </c>
      <c r="B25" t="inlineStr">
        <is>
          <t>Customer Support</t>
        </is>
      </c>
      <c r="C25" t="inlineStr">
        <is>
          <t>ChatGPT Plus</t>
        </is>
      </c>
      <c r="D25" t="inlineStr">
        <is>
          <t>Per User</t>
        </is>
      </c>
      <c r="E25" t="n">
        <v>10</v>
      </c>
      <c r="F25" t="n">
        <v>20</v>
      </c>
      <c r="G25">
        <f>E25*F25</f>
        <v/>
      </c>
      <c r="H25" t="n">
        <v>0</v>
      </c>
      <c r="I25">
        <f>H25-G25</f>
        <v/>
      </c>
      <c r="J25">
        <f>IF(G25&gt;0,I25/G25*100,0)</f>
        <v/>
      </c>
    </row>
    <row r="26">
      <c r="A26" t="inlineStr">
        <is>
          <t>November</t>
        </is>
      </c>
      <c r="B26" t="inlineStr">
        <is>
          <t>Engineering</t>
        </is>
      </c>
      <c r="C26" t="inlineStr">
        <is>
          <t>Cursor</t>
        </is>
      </c>
      <c r="D26" t="inlineStr">
        <is>
          <t>Per User</t>
        </is>
      </c>
      <c r="E26" t="n">
        <v>38</v>
      </c>
      <c r="F26" t="n">
        <v>20</v>
      </c>
      <c r="G26">
        <f>E26*F26</f>
        <v/>
      </c>
      <c r="H26" t="n">
        <v>0</v>
      </c>
      <c r="I26">
        <f>H26-G26</f>
        <v/>
      </c>
      <c r="J26">
        <f>IF(G26&gt;0,I26/G26*100,0)</f>
        <v/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December</t>
        </is>
      </c>
      <c r="B28" t="inlineStr">
        <is>
          <t>Engineering</t>
        </is>
      </c>
      <c r="C28" t="inlineStr">
        <is>
          <t>GitHub Copilot</t>
        </is>
      </c>
      <c r="D28" t="inlineStr">
        <is>
          <t>Per User</t>
        </is>
      </c>
      <c r="E28" t="n">
        <v>162</v>
      </c>
      <c r="F28" t="n">
        <v>39</v>
      </c>
      <c r="G28">
        <f>E28*F28</f>
        <v/>
      </c>
      <c r="H28" t="n">
        <v>0</v>
      </c>
      <c r="I28">
        <f>H28-G28</f>
        <v/>
      </c>
      <c r="J28">
        <f>IF(G28&gt;0,I28/G28*100,0)</f>
        <v/>
      </c>
    </row>
    <row r="29">
      <c r="A29" t="inlineStr">
        <is>
          <t>December</t>
        </is>
      </c>
      <c r="B29" t="inlineStr">
        <is>
          <t>Engineering</t>
        </is>
      </c>
      <c r="C29" t="inlineStr">
        <is>
          <t>ChatGPT Team</t>
        </is>
      </c>
      <c r="D29" t="inlineStr">
        <is>
          <t>Per User</t>
        </is>
      </c>
      <c r="E29" t="n">
        <v>98</v>
      </c>
      <c r="F29" t="n">
        <v>25</v>
      </c>
      <c r="G29">
        <f>E29*F29</f>
        <v/>
      </c>
      <c r="H29" t="n">
        <v>0</v>
      </c>
      <c r="I29">
        <f>H29-G29</f>
        <v/>
      </c>
      <c r="J29">
        <f>IF(G29&gt;0,I29/G29*100,0)</f>
        <v/>
      </c>
    </row>
    <row r="30">
      <c r="A30" t="inlineStr">
        <is>
          <t>December</t>
        </is>
      </c>
      <c r="B30" t="inlineStr">
        <is>
          <t>Engineering</t>
        </is>
      </c>
      <c r="C30" t="inlineStr">
        <is>
          <t>Claude Pro</t>
        </is>
      </c>
      <c r="D30" t="inlineStr">
        <is>
          <t>Per User</t>
        </is>
      </c>
      <c r="E30" t="n">
        <v>48</v>
      </c>
      <c r="F30" t="n">
        <v>20</v>
      </c>
      <c r="G30">
        <f>E30*F30</f>
        <v/>
      </c>
      <c r="H30" t="n">
        <v>0</v>
      </c>
      <c r="I30">
        <f>H30-G30</f>
        <v/>
      </c>
      <c r="J30">
        <f>IF(G30&gt;0,I30/G30*100,0)</f>
        <v/>
      </c>
    </row>
    <row r="31">
      <c r="A31" t="inlineStr">
        <is>
          <t>December</t>
        </is>
      </c>
      <c r="B31" t="inlineStr">
        <is>
          <t>Product</t>
        </is>
      </c>
      <c r="C31" t="inlineStr">
        <is>
          <t>Claude Pro</t>
        </is>
      </c>
      <c r="D31" t="inlineStr">
        <is>
          <t>Per User</t>
        </is>
      </c>
      <c r="E31" t="n">
        <v>25</v>
      </c>
      <c r="F31" t="n">
        <v>20</v>
      </c>
      <c r="G31">
        <f>E31*F31</f>
        <v/>
      </c>
      <c r="H31" t="n">
        <v>0</v>
      </c>
      <c r="I31">
        <f>H31-G31</f>
        <v/>
      </c>
      <c r="J31">
        <f>IF(G31&gt;0,I31/G31*100,0)</f>
        <v/>
      </c>
    </row>
    <row r="32">
      <c r="A32" t="inlineStr">
        <is>
          <t>December</t>
        </is>
      </c>
      <c r="B32" t="inlineStr">
        <is>
          <t>Product</t>
        </is>
      </c>
      <c r="C32" t="inlineStr">
        <is>
          <t>Notion AI</t>
        </is>
      </c>
      <c r="D32" t="inlineStr">
        <is>
          <t>Per User</t>
        </is>
      </c>
      <c r="E32" t="n">
        <v>15</v>
      </c>
      <c r="F32" t="n">
        <v>10</v>
      </c>
      <c r="G32">
        <f>E32*F32</f>
        <v/>
      </c>
      <c r="H32" t="n">
        <v>0</v>
      </c>
      <c r="I32">
        <f>H32-G32</f>
        <v/>
      </c>
      <c r="J32">
        <f>IF(G32&gt;0,I32/G32*100,0)</f>
        <v/>
      </c>
    </row>
    <row r="33">
      <c r="A33" t="inlineStr">
        <is>
          <t>December</t>
        </is>
      </c>
      <c r="B33" t="inlineStr">
        <is>
          <t>Marketing</t>
        </is>
      </c>
      <c r="C33" t="inlineStr">
        <is>
          <t>Jasper</t>
        </is>
      </c>
      <c r="D33" t="inlineStr">
        <is>
          <t>Team</t>
        </is>
      </c>
      <c r="E33" t="n">
        <v>1</v>
      </c>
      <c r="F33" t="n">
        <v>99</v>
      </c>
      <c r="G33">
        <f>E33*F33</f>
        <v/>
      </c>
      <c r="H33" t="n">
        <v>1100</v>
      </c>
      <c r="I33">
        <f>H33-G33</f>
        <v/>
      </c>
      <c r="J33">
        <f>IF(G33&gt;0,I33/G33*100,0)</f>
        <v/>
      </c>
    </row>
    <row r="34">
      <c r="A34" t="inlineStr">
        <is>
          <t>December</t>
        </is>
      </c>
      <c r="B34" t="inlineStr">
        <is>
          <t>Marketing</t>
        </is>
      </c>
      <c r="C34" t="inlineStr">
        <is>
          <t>Copy.ai</t>
        </is>
      </c>
      <c r="D34" t="inlineStr">
        <is>
          <t>Team</t>
        </is>
      </c>
      <c r="E34" t="n">
        <v>1</v>
      </c>
      <c r="F34" t="n">
        <v>49</v>
      </c>
      <c r="G34">
        <f>E34*F34</f>
        <v/>
      </c>
      <c r="H34" t="n">
        <v>0</v>
      </c>
      <c r="I34">
        <f>H34-G34</f>
        <v/>
      </c>
      <c r="J34">
        <f>IF(G34&gt;0,I34/G34*100,0)</f>
        <v/>
      </c>
    </row>
    <row r="35">
      <c r="A35" t="inlineStr">
        <is>
          <t>December</t>
        </is>
      </c>
      <c r="B35" t="inlineStr">
        <is>
          <t>Marketing</t>
        </is>
      </c>
      <c r="C35" t="inlineStr">
        <is>
          <t>Midjourney</t>
        </is>
      </c>
      <c r="D35" t="inlineStr">
        <is>
          <t>Team</t>
        </is>
      </c>
      <c r="E35" t="n">
        <v>1</v>
      </c>
      <c r="F35" t="n">
        <v>30</v>
      </c>
      <c r="G35">
        <f>E35*F35</f>
        <v/>
      </c>
      <c r="H35" t="n">
        <v>1100</v>
      </c>
      <c r="I35">
        <f>H35-G35</f>
        <v/>
      </c>
      <c r="J35">
        <f>IF(G35&gt;0,I35/G35*100,0)</f>
        <v/>
      </c>
    </row>
    <row r="36">
      <c r="A36" t="inlineStr">
        <is>
          <t>December</t>
        </is>
      </c>
      <c r="B36" t="inlineStr">
        <is>
          <t>Marketing</t>
        </is>
      </c>
      <c r="C36" t="inlineStr">
        <is>
          <t>ChatGPT Plus</t>
        </is>
      </c>
      <c r="D36" t="inlineStr">
        <is>
          <t>Per User</t>
        </is>
      </c>
      <c r="E36" t="n">
        <v>15</v>
      </c>
      <c r="F36" t="n">
        <v>20</v>
      </c>
      <c r="G36">
        <f>E36*F36</f>
        <v/>
      </c>
      <c r="H36" t="n">
        <v>0</v>
      </c>
      <c r="I36">
        <f>H36-G36</f>
        <v/>
      </c>
      <c r="J36">
        <f>IF(G36&gt;0,I36/G36*100,0)</f>
        <v/>
      </c>
    </row>
    <row r="37">
      <c r="A37" t="inlineStr">
        <is>
          <t>December</t>
        </is>
      </c>
      <c r="B37" t="inlineStr">
        <is>
          <t>Operations</t>
        </is>
      </c>
      <c r="C37" t="inlineStr">
        <is>
          <t>ChatGPT Plus</t>
        </is>
      </c>
      <c r="D37" t="inlineStr">
        <is>
          <t>Per User</t>
        </is>
      </c>
      <c r="E37" t="n">
        <v>18</v>
      </c>
      <c r="F37" t="n">
        <v>20</v>
      </c>
      <c r="G37">
        <f>E37*F37</f>
        <v/>
      </c>
      <c r="H37" t="n">
        <v>0</v>
      </c>
      <c r="I37">
        <f>H37-G37</f>
        <v/>
      </c>
      <c r="J37">
        <f>IF(G37&gt;0,I37/G37*100,0)</f>
        <v/>
      </c>
    </row>
    <row r="38">
      <c r="A38" t="inlineStr">
        <is>
          <t>December</t>
        </is>
      </c>
      <c r="B38" t="inlineStr">
        <is>
          <t>Customer Support</t>
        </is>
      </c>
      <c r="C38" t="inlineStr">
        <is>
          <t>ChatGPT Plus</t>
        </is>
      </c>
      <c r="D38" t="inlineStr">
        <is>
          <t>Per User</t>
        </is>
      </c>
      <c r="E38" t="n">
        <v>13</v>
      </c>
      <c r="F38" t="n">
        <v>20</v>
      </c>
      <c r="G38">
        <f>E38*F38</f>
        <v/>
      </c>
      <c r="H38" t="n">
        <v>0</v>
      </c>
      <c r="I38">
        <f>H38-G38</f>
        <v/>
      </c>
      <c r="J38">
        <f>IF(G38&gt;0,I38/G38*100,0)</f>
        <v/>
      </c>
    </row>
    <row r="39">
      <c r="A39" t="inlineStr">
        <is>
          <t>December</t>
        </is>
      </c>
      <c r="B39" t="inlineStr">
        <is>
          <t>Engineering</t>
        </is>
      </c>
      <c r="C39" t="inlineStr">
        <is>
          <t>Cursor</t>
        </is>
      </c>
      <c r="D39" t="inlineStr">
        <is>
          <t>Per User</t>
        </is>
      </c>
      <c r="E39" t="n">
        <v>39</v>
      </c>
      <c r="F39" t="n">
        <v>20</v>
      </c>
      <c r="G39">
        <f>E39*F39</f>
        <v/>
      </c>
      <c r="H39" t="n">
        <v>0</v>
      </c>
      <c r="I39">
        <f>H39-G39</f>
        <v/>
      </c>
      <c r="J39">
        <f>IF(G39&gt;0,I39/G39*100,0)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23" customWidth="1" min="3" max="3"/>
    <col width="17" customWidth="1" min="4" max="4"/>
    <col width="27" customWidth="1" min="5" max="5"/>
    <col width="29" customWidth="1" min="6" max="6"/>
    <col width="25" customWidth="1" min="7" max="7"/>
    <col width="28" customWidth="1" min="8" max="8"/>
    <col width="31" customWidth="1" min="9" max="9"/>
    <col width="31" customWidth="1" min="10" max="10"/>
  </cols>
  <sheetData>
    <row r="1">
      <c r="A1" s="1" t="inlineStr">
        <is>
          <t>Employee ID</t>
        </is>
      </c>
      <c r="B1" s="1" t="inlineStr">
        <is>
          <t>Department</t>
        </is>
      </c>
      <c r="C1" s="1" t="inlineStr">
        <is>
          <t>Role</t>
        </is>
      </c>
      <c r="D1" s="1" t="inlineStr">
        <is>
          <t>AI Tool Primary</t>
        </is>
      </c>
      <c r="E1" s="1" t="inlineStr">
        <is>
          <t>Satisfaction Score (1-10)</t>
        </is>
      </c>
      <c r="F1" s="1" t="inlineStr">
        <is>
          <t>Time Saved per Week (hours)</t>
        </is>
      </c>
      <c r="G1" s="1" t="inlineStr">
        <is>
          <t>Confidence Level (1-10)</t>
        </is>
      </c>
      <c r="H1" s="1" t="inlineStr">
        <is>
          <t>Willing to Recommend (Y/N)</t>
        </is>
      </c>
      <c r="I1" s="1" t="inlineStr">
        <is>
          <t>Biggest Benefit</t>
        </is>
      </c>
      <c r="J1" s="1" t="inlineStr">
        <is>
          <t>Biggest Challenge</t>
        </is>
      </c>
    </row>
    <row r="2">
      <c r="A2" t="inlineStr">
        <is>
          <t>EMP001</t>
        </is>
      </c>
      <c r="B2" t="inlineStr">
        <is>
          <t>Engineering</t>
        </is>
      </c>
      <c r="C2" t="inlineStr">
        <is>
          <t>Software Engineer</t>
        </is>
      </c>
      <c r="D2" t="inlineStr">
        <is>
          <t>ChatGPT</t>
        </is>
      </c>
      <c r="E2" t="n">
        <v>8</v>
      </c>
      <c r="F2" t="n">
        <v>11</v>
      </c>
      <c r="G2" t="n">
        <v>7</v>
      </c>
      <c r="H2" t="inlineStr">
        <is>
          <t>Y</t>
        </is>
      </c>
      <c r="I2" t="inlineStr">
        <is>
          <t>Better documentation</t>
        </is>
      </c>
      <c r="J2" t="inlineStr">
        <is>
          <t>Occasional inaccuracies</t>
        </is>
      </c>
    </row>
    <row r="3">
      <c r="A3" t="inlineStr">
        <is>
          <t>EMP002</t>
        </is>
      </c>
      <c r="B3" t="inlineStr">
        <is>
          <t>Customer Support</t>
        </is>
      </c>
      <c r="C3" t="inlineStr">
        <is>
          <t>Senior Support Agent</t>
        </is>
      </c>
      <c r="D3" t="inlineStr">
        <is>
          <t>ChatGPT</t>
        </is>
      </c>
      <c r="E3" t="n">
        <v>3</v>
      </c>
      <c r="F3" t="n">
        <v>0</v>
      </c>
      <c r="G3" t="n">
        <v>2</v>
      </c>
      <c r="H3" t="inlineStr">
        <is>
          <t>N</t>
        </is>
      </c>
      <c r="I3" t="inlineStr">
        <is>
          <t>Improved content quality</t>
        </is>
      </c>
      <c r="J3" t="inlineStr">
        <is>
          <t>Learning curve steep</t>
        </is>
      </c>
    </row>
    <row r="4">
      <c r="A4" t="inlineStr">
        <is>
          <t>EMP003</t>
        </is>
      </c>
      <c r="B4" t="inlineStr">
        <is>
          <t>Customer Support</t>
        </is>
      </c>
      <c r="C4" t="inlineStr">
        <is>
          <t>Support Agent</t>
        </is>
      </c>
      <c r="D4" t="inlineStr">
        <is>
          <t>None</t>
        </is>
      </c>
      <c r="E4" t="n">
        <v>7</v>
      </c>
      <c r="F4" t="n">
        <v>1</v>
      </c>
      <c r="G4" t="n">
        <v>5</v>
      </c>
      <c r="H4" t="inlineStr">
        <is>
          <t>Y</t>
        </is>
      </c>
      <c r="I4" t="inlineStr">
        <is>
          <t>Time savings on routine tasks</t>
        </is>
      </c>
      <c r="J4" t="inlineStr">
        <is>
          <t>Learning curve steep</t>
        </is>
      </c>
    </row>
    <row r="5">
      <c r="A5" t="inlineStr">
        <is>
          <t>EMP004</t>
        </is>
      </c>
      <c r="B5" t="inlineStr">
        <is>
          <t>Product</t>
        </is>
      </c>
      <c r="C5" t="inlineStr">
        <is>
          <t>UX Researcher</t>
        </is>
      </c>
      <c r="D5" t="inlineStr">
        <is>
          <t>ChatGPT</t>
        </is>
      </c>
      <c r="E5" t="n">
        <v>7</v>
      </c>
      <c r="F5" t="n">
        <v>6</v>
      </c>
      <c r="G5" t="n">
        <v>7</v>
      </c>
      <c r="H5" t="inlineStr">
        <is>
          <t>Y</t>
        </is>
      </c>
      <c r="I5" t="inlineStr">
        <is>
          <t>Learning new patterns</t>
        </is>
      </c>
      <c r="J5" t="inlineStr">
        <is>
          <t>Occasional inaccuracies</t>
        </is>
      </c>
    </row>
    <row r="6">
      <c r="A6" t="inlineStr">
        <is>
          <t>EMP005</t>
        </is>
      </c>
      <c r="B6" t="inlineStr">
        <is>
          <t>Engineering</t>
        </is>
      </c>
      <c r="C6" t="inlineStr">
        <is>
          <t>DevOps Engineer</t>
        </is>
      </c>
      <c r="D6" t="inlineStr">
        <is>
          <t>Claude</t>
        </is>
      </c>
      <c r="E6" t="n">
        <v>6</v>
      </c>
      <c r="F6" t="n">
        <v>21</v>
      </c>
      <c r="G6" t="n">
        <v>8</v>
      </c>
      <c r="H6" t="inlineStr">
        <is>
          <t>N</t>
        </is>
      </c>
      <c r="I6" t="inlineStr">
        <is>
          <t>Time savings on routine tasks</t>
        </is>
      </c>
      <c r="J6" t="inlineStr">
        <is>
          <t>Learning curve steep</t>
        </is>
      </c>
    </row>
    <row r="7">
      <c r="A7" t="inlineStr">
        <is>
          <t>EMP006</t>
        </is>
      </c>
      <c r="B7" t="inlineStr">
        <is>
          <t>Operations</t>
        </is>
      </c>
      <c r="C7" t="inlineStr">
        <is>
          <t>Finance Analyst</t>
        </is>
      </c>
      <c r="D7" t="inlineStr">
        <is>
          <t>None</t>
        </is>
      </c>
      <c r="E7" t="n">
        <v>6</v>
      </c>
      <c r="F7" t="n">
        <v>5</v>
      </c>
      <c r="G7" t="n">
        <v>3</v>
      </c>
      <c r="H7" t="inlineStr">
        <is>
          <t>Y</t>
        </is>
      </c>
      <c r="I7" t="inlineStr">
        <is>
          <t>Learning new patterns</t>
        </is>
      </c>
      <c r="J7" t="inlineStr">
        <is>
          <t>Integration with tools</t>
        </is>
      </c>
    </row>
    <row r="8">
      <c r="A8" t="inlineStr">
        <is>
          <t>EMP007</t>
        </is>
      </c>
      <c r="B8" t="inlineStr">
        <is>
          <t>Engineering</t>
        </is>
      </c>
      <c r="C8" t="inlineStr">
        <is>
          <t>Software Engineer</t>
        </is>
      </c>
      <c r="D8" t="inlineStr">
        <is>
          <t>ChatGPT</t>
        </is>
      </c>
      <c r="E8" t="n">
        <v>7</v>
      </c>
      <c r="F8" t="n">
        <v>9</v>
      </c>
      <c r="G8" t="n">
        <v>8</v>
      </c>
      <c r="H8" t="inlineStr">
        <is>
          <t>Y</t>
        </is>
      </c>
      <c r="I8" t="inlineStr">
        <is>
          <t>Better documentation</t>
        </is>
      </c>
      <c r="J8" t="inlineStr">
        <is>
          <t>Prompt engineering difficult</t>
        </is>
      </c>
    </row>
    <row r="9">
      <c r="A9" t="inlineStr">
        <is>
          <t>EMP008</t>
        </is>
      </c>
      <c r="B9" t="inlineStr">
        <is>
          <t>Marketing</t>
        </is>
      </c>
      <c r="C9" t="inlineStr">
        <is>
          <t>Demand Gen Specialist</t>
        </is>
      </c>
      <c r="D9" t="inlineStr">
        <is>
          <t>Copy.ai</t>
        </is>
      </c>
      <c r="E9" t="n">
        <v>9</v>
      </c>
      <c r="F9" t="n">
        <v>8</v>
      </c>
      <c r="G9" t="n">
        <v>6</v>
      </c>
      <c r="H9" t="inlineStr">
        <is>
          <t>Y</t>
        </is>
      </c>
      <c r="I9" t="inlineStr">
        <is>
          <t>Learning new patterns</t>
        </is>
      </c>
      <c r="J9" t="inlineStr">
        <is>
          <t>Integration with tools</t>
        </is>
      </c>
    </row>
    <row r="10">
      <c r="A10" t="inlineStr">
        <is>
          <t>EMP009</t>
        </is>
      </c>
      <c r="B10" t="inlineStr">
        <is>
          <t>Marketing</t>
        </is>
      </c>
      <c r="C10" t="inlineStr">
        <is>
          <t>Content Writer</t>
        </is>
      </c>
      <c r="D10" t="inlineStr">
        <is>
          <t>ChatGPT</t>
        </is>
      </c>
      <c r="E10" t="n">
        <v>8</v>
      </c>
      <c r="F10" t="n">
        <v>10</v>
      </c>
      <c r="G10" t="n">
        <v>5</v>
      </c>
      <c r="H10" t="inlineStr">
        <is>
          <t>Y</t>
        </is>
      </c>
      <c r="I10" t="inlineStr">
        <is>
          <t>Reduced research time</t>
        </is>
      </c>
      <c r="J10" t="inlineStr">
        <is>
          <t>Prompt engineering difficult</t>
        </is>
      </c>
    </row>
    <row r="11">
      <c r="A11" t="inlineStr">
        <is>
          <t>EMP010</t>
        </is>
      </c>
      <c r="B11" t="inlineStr">
        <is>
          <t>Marketing</t>
        </is>
      </c>
      <c r="C11" t="inlineStr">
        <is>
          <t>Marketing Manager</t>
        </is>
      </c>
      <c r="D11" t="inlineStr">
        <is>
          <t>ChatGPT</t>
        </is>
      </c>
      <c r="E11" t="n">
        <v>9</v>
      </c>
      <c r="F11" t="n">
        <v>4</v>
      </c>
      <c r="G11" t="n">
        <v>6</v>
      </c>
      <c r="H11" t="inlineStr">
        <is>
          <t>Y</t>
        </is>
      </c>
      <c r="I11" t="inlineStr">
        <is>
          <t>Faster code completion</t>
        </is>
      </c>
      <c r="J11" t="inlineStr">
        <is>
          <t>Tool switching overhead</t>
        </is>
      </c>
    </row>
    <row r="12">
      <c r="A12" t="inlineStr">
        <is>
          <t>EMP011</t>
        </is>
      </c>
      <c r="B12" t="inlineStr">
        <is>
          <t>Operations</t>
        </is>
      </c>
      <c r="C12" t="inlineStr">
        <is>
          <t>Legal Counsel</t>
        </is>
      </c>
      <c r="D12" t="inlineStr">
        <is>
          <t>ChatGPT</t>
        </is>
      </c>
      <c r="E12" t="n">
        <v>3</v>
      </c>
      <c r="F12" t="n">
        <v>6</v>
      </c>
      <c r="G12" t="n">
        <v>4</v>
      </c>
      <c r="H12" t="inlineStr">
        <is>
          <t>N</t>
        </is>
      </c>
      <c r="I12" t="inlineStr">
        <is>
          <t>Reduced research time</t>
        </is>
      </c>
      <c r="J12" t="inlineStr">
        <is>
          <t>Prompt engineering difficult</t>
        </is>
      </c>
    </row>
    <row r="13">
      <c r="A13" t="inlineStr">
        <is>
          <t>EMP012</t>
        </is>
      </c>
      <c r="B13" t="inlineStr">
        <is>
          <t>Operations</t>
        </is>
      </c>
      <c r="C13" t="inlineStr">
        <is>
          <t>HR Specialist</t>
        </is>
      </c>
      <c r="D13" t="inlineStr">
        <is>
          <t>None</t>
        </is>
      </c>
      <c r="E13" t="n">
        <v>5</v>
      </c>
      <c r="F13" t="n">
        <v>4</v>
      </c>
      <c r="G13" t="n">
        <v>4</v>
      </c>
      <c r="H13" t="inlineStr">
        <is>
          <t>Y</t>
        </is>
      </c>
      <c r="I13" t="inlineStr">
        <is>
          <t>Time savings on routine tasks</t>
        </is>
      </c>
      <c r="J13" t="inlineStr">
        <is>
          <t>Prompt engineering difficult</t>
        </is>
      </c>
    </row>
    <row r="14">
      <c r="A14" t="inlineStr">
        <is>
          <t>EMP013</t>
        </is>
      </c>
      <c r="B14" t="inlineStr">
        <is>
          <t>Customer Support</t>
        </is>
      </c>
      <c r="C14" t="inlineStr">
        <is>
          <t>Senior Support Agent</t>
        </is>
      </c>
      <c r="D14" t="inlineStr">
        <is>
          <t>None</t>
        </is>
      </c>
      <c r="E14" t="n">
        <v>5</v>
      </c>
      <c r="F14" t="n">
        <v>1</v>
      </c>
      <c r="G14" t="n">
        <v>3</v>
      </c>
      <c r="H14" t="inlineStr">
        <is>
          <t>Y</t>
        </is>
      </c>
      <c r="I14" t="inlineStr">
        <is>
          <t>Better documentation</t>
        </is>
      </c>
      <c r="J14" t="inlineStr">
        <is>
          <t>Learning curve steep</t>
        </is>
      </c>
    </row>
    <row r="15">
      <c r="A15" t="inlineStr">
        <is>
          <t>EMP014</t>
        </is>
      </c>
      <c r="B15" t="inlineStr">
        <is>
          <t>Engineering</t>
        </is>
      </c>
      <c r="C15" t="inlineStr">
        <is>
          <t>Senior Engineer</t>
        </is>
      </c>
      <c r="D15" t="inlineStr">
        <is>
          <t>GitHub Copilot</t>
        </is>
      </c>
      <c r="E15" t="n">
        <v>7</v>
      </c>
      <c r="F15" t="n">
        <v>17</v>
      </c>
      <c r="G15" t="n">
        <v>9</v>
      </c>
      <c r="H15" t="inlineStr">
        <is>
          <t>Y</t>
        </is>
      </c>
      <c r="I15" t="inlineStr">
        <is>
          <t>Enhanced creativity</t>
        </is>
      </c>
      <c r="J15" t="inlineStr">
        <is>
          <t>Prompt engineering difficult</t>
        </is>
      </c>
    </row>
    <row r="16">
      <c r="A16" t="inlineStr">
        <is>
          <t>EMP015</t>
        </is>
      </c>
      <c r="B16" t="inlineStr">
        <is>
          <t>Customer Support</t>
        </is>
      </c>
      <c r="C16" t="inlineStr">
        <is>
          <t>Senior Support Agent</t>
        </is>
      </c>
      <c r="D16" t="inlineStr">
        <is>
          <t>ChatGPT</t>
        </is>
      </c>
      <c r="E16" t="n">
        <v>7</v>
      </c>
      <c r="F16" t="n">
        <v>4</v>
      </c>
      <c r="G16" t="n">
        <v>4</v>
      </c>
      <c r="H16" t="inlineStr">
        <is>
          <t>Y</t>
        </is>
      </c>
      <c r="I16" t="inlineStr">
        <is>
          <t>Better documentation</t>
        </is>
      </c>
      <c r="J16" t="inlineStr">
        <is>
          <t>Quality control needed</t>
        </is>
      </c>
    </row>
    <row r="17">
      <c r="A17" t="inlineStr">
        <is>
          <t>EMP016</t>
        </is>
      </c>
      <c r="B17" t="inlineStr">
        <is>
          <t>Marketing</t>
        </is>
      </c>
      <c r="C17" t="inlineStr">
        <is>
          <t>Content Writer</t>
        </is>
      </c>
      <c r="D17" t="inlineStr">
        <is>
          <t>Midjourney</t>
        </is>
      </c>
      <c r="E17" t="n">
        <v>6</v>
      </c>
      <c r="F17" t="n">
        <v>8</v>
      </c>
      <c r="G17" t="n">
        <v>7</v>
      </c>
      <c r="H17" t="inlineStr">
        <is>
          <t>Y</t>
        </is>
      </c>
      <c r="I17" t="inlineStr">
        <is>
          <t>Faster code completion</t>
        </is>
      </c>
      <c r="J17" t="inlineStr">
        <is>
          <t>Quality control needed</t>
        </is>
      </c>
    </row>
    <row r="18">
      <c r="A18" t="inlineStr">
        <is>
          <t>EMP017</t>
        </is>
      </c>
      <c r="B18" t="inlineStr">
        <is>
          <t>Customer Support</t>
        </is>
      </c>
      <c r="C18" t="inlineStr">
        <is>
          <t>Support Agent</t>
        </is>
      </c>
      <c r="D18" t="inlineStr">
        <is>
          <t>None</t>
        </is>
      </c>
      <c r="E18" t="n">
        <v>7</v>
      </c>
      <c r="F18" t="n">
        <v>6</v>
      </c>
      <c r="G18" t="n">
        <v>2</v>
      </c>
      <c r="H18" t="inlineStr">
        <is>
          <t>Y</t>
        </is>
      </c>
      <c r="I18" t="inlineStr">
        <is>
          <t>Improved content quality</t>
        </is>
      </c>
      <c r="J18" t="inlineStr">
        <is>
          <t>Data privacy concerns</t>
        </is>
      </c>
    </row>
    <row r="19">
      <c r="A19" t="inlineStr">
        <is>
          <t>EMP018</t>
        </is>
      </c>
      <c r="B19" t="inlineStr">
        <is>
          <t>Marketing</t>
        </is>
      </c>
      <c r="C19" t="inlineStr">
        <is>
          <t>Marketing Manager</t>
        </is>
      </c>
      <c r="D19" t="inlineStr">
        <is>
          <t>Copy.ai</t>
        </is>
      </c>
      <c r="E19" t="n">
        <v>8</v>
      </c>
      <c r="F19" t="n">
        <v>3</v>
      </c>
      <c r="G19" t="n">
        <v>8</v>
      </c>
      <c r="H19" t="inlineStr">
        <is>
          <t>Y</t>
        </is>
      </c>
      <c r="I19" t="inlineStr">
        <is>
          <t>Reduced research time</t>
        </is>
      </c>
      <c r="J19" t="inlineStr">
        <is>
          <t>Learning curve steep</t>
        </is>
      </c>
    </row>
    <row r="20">
      <c r="A20" t="inlineStr">
        <is>
          <t>EMP019</t>
        </is>
      </c>
      <c r="B20" t="inlineStr">
        <is>
          <t>Engineering</t>
        </is>
      </c>
      <c r="C20" t="inlineStr">
        <is>
          <t>QA Engineer</t>
        </is>
      </c>
      <c r="D20" t="inlineStr">
        <is>
          <t>ChatGPT</t>
        </is>
      </c>
      <c r="E20" t="n">
        <v>8</v>
      </c>
      <c r="F20" t="n">
        <v>8</v>
      </c>
      <c r="G20" t="n">
        <v>7</v>
      </c>
      <c r="H20" t="inlineStr">
        <is>
          <t>Y</t>
        </is>
      </c>
      <c r="I20" t="inlineStr">
        <is>
          <t>Better documentation</t>
        </is>
      </c>
      <c r="J20" t="inlineStr">
        <is>
          <t>Occasional inaccuracies</t>
        </is>
      </c>
    </row>
    <row r="21">
      <c r="A21" t="inlineStr">
        <is>
          <t>EMP020</t>
        </is>
      </c>
      <c r="B21" t="inlineStr">
        <is>
          <t>Operations</t>
        </is>
      </c>
      <c r="C21" t="inlineStr">
        <is>
          <t>Finance Analyst</t>
        </is>
      </c>
      <c r="D21" t="inlineStr">
        <is>
          <t>None</t>
        </is>
      </c>
      <c r="E21" t="n">
        <v>7</v>
      </c>
      <c r="F21" t="n">
        <v>3</v>
      </c>
      <c r="G21" t="n">
        <v>4</v>
      </c>
      <c r="H21" t="inlineStr">
        <is>
          <t>Y</t>
        </is>
      </c>
      <c r="I21" t="inlineStr">
        <is>
          <t>Reduced research time</t>
        </is>
      </c>
      <c r="J21" t="inlineStr">
        <is>
          <t>Data privacy concerns</t>
        </is>
      </c>
    </row>
    <row r="22">
      <c r="A22" t="inlineStr">
        <is>
          <t>EMP021</t>
        </is>
      </c>
      <c r="B22" t="inlineStr">
        <is>
          <t>Marketing</t>
        </is>
      </c>
      <c r="C22" t="inlineStr">
        <is>
          <t>Demand Gen Specialist</t>
        </is>
      </c>
      <c r="D22" t="inlineStr">
        <is>
          <t>Copy.ai</t>
        </is>
      </c>
      <c r="E22" t="n">
        <v>5</v>
      </c>
      <c r="F22" t="n">
        <v>9</v>
      </c>
      <c r="G22" t="n">
        <v>8</v>
      </c>
      <c r="H22" t="inlineStr">
        <is>
          <t>N</t>
        </is>
      </c>
      <c r="I22" t="inlineStr">
        <is>
          <t>Enhanced creativity</t>
        </is>
      </c>
      <c r="J22" t="inlineStr">
        <is>
          <t>Tool switching overhead</t>
        </is>
      </c>
    </row>
    <row r="23">
      <c r="A23" t="inlineStr">
        <is>
          <t>EMP022</t>
        </is>
      </c>
      <c r="B23" t="inlineStr">
        <is>
          <t>Operations</t>
        </is>
      </c>
      <c r="C23" t="inlineStr">
        <is>
          <t>Operations Manager</t>
        </is>
      </c>
      <c r="D23" t="inlineStr">
        <is>
          <t>ChatGPT</t>
        </is>
      </c>
      <c r="E23" t="n">
        <v>3</v>
      </c>
      <c r="F23" t="n">
        <v>4</v>
      </c>
      <c r="G23" t="n">
        <v>4</v>
      </c>
      <c r="H23" t="inlineStr">
        <is>
          <t>N</t>
        </is>
      </c>
      <c r="I23" t="inlineStr">
        <is>
          <t>Learning new patterns</t>
        </is>
      </c>
      <c r="J23" t="inlineStr">
        <is>
          <t>Learning curve steep</t>
        </is>
      </c>
    </row>
    <row r="24">
      <c r="A24" t="inlineStr">
        <is>
          <t>EMP023</t>
        </is>
      </c>
      <c r="B24" t="inlineStr">
        <is>
          <t>Customer Support</t>
        </is>
      </c>
      <c r="C24" t="inlineStr">
        <is>
          <t>Support Manager</t>
        </is>
      </c>
      <c r="D24" t="inlineStr">
        <is>
          <t>ChatGPT</t>
        </is>
      </c>
      <c r="E24" t="n">
        <v>4</v>
      </c>
      <c r="F24" t="n">
        <v>1</v>
      </c>
      <c r="G24" t="n">
        <v>6</v>
      </c>
      <c r="H24" t="inlineStr">
        <is>
          <t>N</t>
        </is>
      </c>
      <c r="I24" t="inlineStr">
        <is>
          <t>Better documentation</t>
        </is>
      </c>
      <c r="J24" t="inlineStr">
        <is>
          <t>Learning curve steep</t>
        </is>
      </c>
    </row>
    <row r="25">
      <c r="A25" t="inlineStr">
        <is>
          <t>EMP024</t>
        </is>
      </c>
      <c r="B25" t="inlineStr">
        <is>
          <t>Product</t>
        </is>
      </c>
      <c r="C25" t="inlineStr">
        <is>
          <t>Product Manager</t>
        </is>
      </c>
      <c r="D25" t="inlineStr">
        <is>
          <t>Notion AI</t>
        </is>
      </c>
      <c r="E25" t="n">
        <v>5</v>
      </c>
      <c r="F25" t="n">
        <v>5</v>
      </c>
      <c r="G25" t="n">
        <v>7</v>
      </c>
      <c r="H25" t="inlineStr">
        <is>
          <t>N</t>
        </is>
      </c>
      <c r="I25" t="inlineStr">
        <is>
          <t>Improved content quality</t>
        </is>
      </c>
      <c r="J25" t="inlineStr">
        <is>
          <t>Quality control needed</t>
        </is>
      </c>
    </row>
    <row r="26">
      <c r="A26" t="inlineStr">
        <is>
          <t>EMP025</t>
        </is>
      </c>
      <c r="B26" t="inlineStr">
        <is>
          <t>Operations</t>
        </is>
      </c>
      <c r="C26" t="inlineStr">
        <is>
          <t>HR Specialist</t>
        </is>
      </c>
      <c r="D26" t="inlineStr">
        <is>
          <t>ChatGPT</t>
        </is>
      </c>
      <c r="E26" t="n">
        <v>7</v>
      </c>
      <c r="F26" t="n">
        <v>8</v>
      </c>
      <c r="G26" t="n">
        <v>4</v>
      </c>
      <c r="H26" t="inlineStr">
        <is>
          <t>Y</t>
        </is>
      </c>
      <c r="I26" t="inlineStr">
        <is>
          <t>Reduced research time</t>
        </is>
      </c>
      <c r="J26" t="inlineStr">
        <is>
          <t>Prompt engineering difficult</t>
        </is>
      </c>
    </row>
    <row r="27">
      <c r="A27" t="inlineStr">
        <is>
          <t>EMP026</t>
        </is>
      </c>
      <c r="B27" t="inlineStr">
        <is>
          <t>Product</t>
        </is>
      </c>
      <c r="C27" t="inlineStr">
        <is>
          <t>Product Manager</t>
        </is>
      </c>
      <c r="D27" t="inlineStr">
        <is>
          <t>Claude</t>
        </is>
      </c>
      <c r="E27" t="n">
        <v>5</v>
      </c>
      <c r="F27" t="n">
        <v>9</v>
      </c>
      <c r="G27" t="n">
        <v>8</v>
      </c>
      <c r="H27" t="inlineStr">
        <is>
          <t>N</t>
        </is>
      </c>
      <c r="I27" t="inlineStr">
        <is>
          <t>Enhanced creativity</t>
        </is>
      </c>
      <c r="J27" t="inlineStr">
        <is>
          <t>Limited use cases for my role</t>
        </is>
      </c>
    </row>
    <row r="28">
      <c r="A28" t="inlineStr">
        <is>
          <t>EMP027</t>
        </is>
      </c>
      <c r="B28" t="inlineStr">
        <is>
          <t>Engineering</t>
        </is>
      </c>
      <c r="C28" t="inlineStr">
        <is>
          <t>Software Engineer</t>
        </is>
      </c>
      <c r="D28" t="inlineStr">
        <is>
          <t>Claude</t>
        </is>
      </c>
      <c r="E28" t="n">
        <v>6</v>
      </c>
      <c r="F28" t="n">
        <v>19</v>
      </c>
      <c r="G28" t="n">
        <v>9</v>
      </c>
      <c r="H28" t="inlineStr">
        <is>
          <t>N</t>
        </is>
      </c>
      <c r="I28" t="inlineStr">
        <is>
          <t>Better documentation</t>
        </is>
      </c>
      <c r="J28" t="inlineStr">
        <is>
          <t>Integration with tools</t>
        </is>
      </c>
    </row>
    <row r="29">
      <c r="A29" t="inlineStr">
        <is>
          <t>EMP028</t>
        </is>
      </c>
      <c r="B29" t="inlineStr">
        <is>
          <t>Product</t>
        </is>
      </c>
      <c r="C29" t="inlineStr">
        <is>
          <t>Senior PM</t>
        </is>
      </c>
      <c r="D29" t="inlineStr">
        <is>
          <t>Claude</t>
        </is>
      </c>
      <c r="E29" t="n">
        <v>9</v>
      </c>
      <c r="F29" t="n">
        <v>6</v>
      </c>
      <c r="G29" t="n">
        <v>8</v>
      </c>
      <c r="H29" t="inlineStr">
        <is>
          <t>Y</t>
        </is>
      </c>
      <c r="I29" t="inlineStr">
        <is>
          <t>Quicker problem solving</t>
        </is>
      </c>
      <c r="J29" t="inlineStr">
        <is>
          <t>Quality control needed</t>
        </is>
      </c>
    </row>
    <row r="30">
      <c r="A30" t="inlineStr">
        <is>
          <t>EMP029</t>
        </is>
      </c>
      <c r="B30" t="inlineStr">
        <is>
          <t>Operations</t>
        </is>
      </c>
      <c r="C30" t="inlineStr">
        <is>
          <t>HR Specialist</t>
        </is>
      </c>
      <c r="D30" t="inlineStr">
        <is>
          <t>ChatGPT</t>
        </is>
      </c>
      <c r="E30" t="n">
        <v>3</v>
      </c>
      <c r="F30" t="n">
        <v>2</v>
      </c>
      <c r="G30" t="n">
        <v>6</v>
      </c>
      <c r="H30" t="inlineStr">
        <is>
          <t>N</t>
        </is>
      </c>
      <c r="I30" t="inlineStr">
        <is>
          <t>Faster code completion</t>
        </is>
      </c>
      <c r="J30" t="inlineStr">
        <is>
          <t>Occasional inaccuracies</t>
        </is>
      </c>
    </row>
    <row r="31">
      <c r="A31" t="inlineStr">
        <is>
          <t>EMP030</t>
        </is>
      </c>
      <c r="B31" t="inlineStr">
        <is>
          <t>Product</t>
        </is>
      </c>
      <c r="C31" t="inlineStr">
        <is>
          <t>Senior PM</t>
        </is>
      </c>
      <c r="D31" t="inlineStr">
        <is>
          <t>ChatGPT</t>
        </is>
      </c>
      <c r="E31" t="n">
        <v>8</v>
      </c>
      <c r="F31" t="n">
        <v>11</v>
      </c>
      <c r="G31" t="n">
        <v>8</v>
      </c>
      <c r="H31" t="inlineStr">
        <is>
          <t>Y</t>
        </is>
      </c>
      <c r="I31" t="inlineStr">
        <is>
          <t>Enhanced creativity</t>
        </is>
      </c>
      <c r="J31" t="inlineStr">
        <is>
          <t>Learning curve steep</t>
        </is>
      </c>
    </row>
    <row r="32">
      <c r="A32" t="inlineStr">
        <is>
          <t>EMP031</t>
        </is>
      </c>
      <c r="B32" t="inlineStr">
        <is>
          <t>Product</t>
        </is>
      </c>
      <c r="C32" t="inlineStr">
        <is>
          <t>UX Researcher</t>
        </is>
      </c>
      <c r="D32" t="inlineStr">
        <is>
          <t>Claude</t>
        </is>
      </c>
      <c r="E32" t="n">
        <v>5</v>
      </c>
      <c r="F32" t="n">
        <v>8</v>
      </c>
      <c r="G32" t="n">
        <v>8</v>
      </c>
      <c r="H32" t="inlineStr">
        <is>
          <t>N</t>
        </is>
      </c>
      <c r="I32" t="inlineStr">
        <is>
          <t>Time savings on routine tasks</t>
        </is>
      </c>
      <c r="J32" t="inlineStr">
        <is>
          <t>Prompt engineering difficult</t>
        </is>
      </c>
    </row>
    <row r="33">
      <c r="A33" t="inlineStr">
        <is>
          <t>EMP032</t>
        </is>
      </c>
      <c r="B33" t="inlineStr">
        <is>
          <t>Customer Support</t>
        </is>
      </c>
      <c r="C33" t="inlineStr">
        <is>
          <t>Support Manager</t>
        </is>
      </c>
      <c r="D33" t="inlineStr">
        <is>
          <t>None</t>
        </is>
      </c>
      <c r="E33" t="n">
        <v>6</v>
      </c>
      <c r="F33" t="n">
        <v>1</v>
      </c>
      <c r="G33" t="n">
        <v>3</v>
      </c>
      <c r="H33" t="inlineStr">
        <is>
          <t>Y</t>
        </is>
      </c>
      <c r="I33" t="inlineStr">
        <is>
          <t>Improved content quality</t>
        </is>
      </c>
      <c r="J33" t="inlineStr">
        <is>
          <t>Learning curve steep</t>
        </is>
      </c>
    </row>
    <row r="34">
      <c r="A34" t="inlineStr">
        <is>
          <t>EMP033</t>
        </is>
      </c>
      <c r="B34" t="inlineStr">
        <is>
          <t>Customer Support</t>
        </is>
      </c>
      <c r="C34" t="inlineStr">
        <is>
          <t>Support Manager</t>
        </is>
      </c>
      <c r="D34" t="inlineStr">
        <is>
          <t>None</t>
        </is>
      </c>
      <c r="E34" t="n">
        <v>7</v>
      </c>
      <c r="F34" t="n">
        <v>5</v>
      </c>
      <c r="G34" t="n">
        <v>2</v>
      </c>
      <c r="H34" t="inlineStr">
        <is>
          <t>Y</t>
        </is>
      </c>
      <c r="I34" t="inlineStr">
        <is>
          <t>Faster code completion</t>
        </is>
      </c>
      <c r="J34" t="inlineStr">
        <is>
          <t>Learning curve steep</t>
        </is>
      </c>
    </row>
    <row r="35">
      <c r="A35" t="inlineStr">
        <is>
          <t>EMP034</t>
        </is>
      </c>
      <c r="B35" t="inlineStr">
        <is>
          <t>Customer Support</t>
        </is>
      </c>
      <c r="C35" t="inlineStr">
        <is>
          <t>Senior Support Agent</t>
        </is>
      </c>
      <c r="D35" t="inlineStr">
        <is>
          <t>ChatGPT</t>
        </is>
      </c>
      <c r="E35" t="n">
        <v>7</v>
      </c>
      <c r="F35" t="n">
        <v>1</v>
      </c>
      <c r="G35" t="n">
        <v>6</v>
      </c>
      <c r="H35" t="inlineStr">
        <is>
          <t>Y</t>
        </is>
      </c>
      <c r="I35" t="inlineStr">
        <is>
          <t>Better documentation</t>
        </is>
      </c>
      <c r="J35" t="inlineStr">
        <is>
          <t>Data privacy concerns</t>
        </is>
      </c>
    </row>
    <row r="36">
      <c r="A36" t="inlineStr">
        <is>
          <t>EMP035</t>
        </is>
      </c>
      <c r="B36" t="inlineStr">
        <is>
          <t>Engineering</t>
        </is>
      </c>
      <c r="C36" t="inlineStr">
        <is>
          <t>Engineering Manager</t>
        </is>
      </c>
      <c r="D36" t="inlineStr">
        <is>
          <t>GitHub Copilot</t>
        </is>
      </c>
      <c r="E36" t="n">
        <v>6</v>
      </c>
      <c r="F36" t="n">
        <v>14</v>
      </c>
      <c r="G36" t="n">
        <v>7</v>
      </c>
      <c r="H36" t="inlineStr">
        <is>
          <t>N</t>
        </is>
      </c>
      <c r="I36" t="inlineStr">
        <is>
          <t>Improved content quality</t>
        </is>
      </c>
      <c r="J36" t="inlineStr">
        <is>
          <t>Learning curve steep</t>
        </is>
      </c>
    </row>
    <row r="37">
      <c r="A37" t="inlineStr">
        <is>
          <t>EMP036</t>
        </is>
      </c>
      <c r="B37" t="inlineStr">
        <is>
          <t>Customer Support</t>
        </is>
      </c>
      <c r="C37" t="inlineStr">
        <is>
          <t>Support Agent</t>
        </is>
      </c>
      <c r="D37" t="inlineStr">
        <is>
          <t>None</t>
        </is>
      </c>
      <c r="E37" t="n">
        <v>6</v>
      </c>
      <c r="F37" t="n">
        <v>4</v>
      </c>
      <c r="G37" t="n">
        <v>6</v>
      </c>
      <c r="H37" t="inlineStr">
        <is>
          <t>Y</t>
        </is>
      </c>
      <c r="I37" t="inlineStr">
        <is>
          <t>Time savings on routine tasks</t>
        </is>
      </c>
      <c r="J37" t="inlineStr">
        <is>
          <t>Integration with tools</t>
        </is>
      </c>
    </row>
    <row r="38">
      <c r="A38" t="inlineStr">
        <is>
          <t>EMP037</t>
        </is>
      </c>
      <c r="B38" t="inlineStr">
        <is>
          <t>Marketing</t>
        </is>
      </c>
      <c r="C38" t="inlineStr">
        <is>
          <t>Marketing Manager</t>
        </is>
      </c>
      <c r="D38" t="inlineStr">
        <is>
          <t>Copy.ai</t>
        </is>
      </c>
      <c r="E38" t="n">
        <v>6</v>
      </c>
      <c r="F38" t="n">
        <v>7</v>
      </c>
      <c r="G38" t="n">
        <v>7</v>
      </c>
      <c r="H38" t="inlineStr">
        <is>
          <t>Y</t>
        </is>
      </c>
      <c r="I38" t="inlineStr">
        <is>
          <t>Reduced research time</t>
        </is>
      </c>
      <c r="J38" t="inlineStr">
        <is>
          <t>Tool switching overhead</t>
        </is>
      </c>
    </row>
    <row r="39">
      <c r="A39" t="inlineStr">
        <is>
          <t>EMP038</t>
        </is>
      </c>
      <c r="B39" t="inlineStr">
        <is>
          <t>Engineering</t>
        </is>
      </c>
      <c r="C39" t="inlineStr">
        <is>
          <t>Software Engineer</t>
        </is>
      </c>
      <c r="D39" t="inlineStr">
        <is>
          <t>GitHub Copilot</t>
        </is>
      </c>
      <c r="E39" t="n">
        <v>9</v>
      </c>
      <c r="F39" t="n">
        <v>17</v>
      </c>
      <c r="G39" t="n">
        <v>10</v>
      </c>
      <c r="H39" t="inlineStr">
        <is>
          <t>Y</t>
        </is>
      </c>
      <c r="I39" t="inlineStr">
        <is>
          <t>Better documentation</t>
        </is>
      </c>
      <c r="J39" t="inlineStr">
        <is>
          <t>Integration with tools</t>
        </is>
      </c>
    </row>
    <row r="40">
      <c r="A40" t="inlineStr">
        <is>
          <t>EMP039</t>
        </is>
      </c>
      <c r="B40" t="inlineStr">
        <is>
          <t>Customer Support</t>
        </is>
      </c>
      <c r="C40" t="inlineStr">
        <is>
          <t>Senior Support Agent</t>
        </is>
      </c>
      <c r="D40" t="inlineStr">
        <is>
          <t>ChatGPT</t>
        </is>
      </c>
      <c r="E40" t="n">
        <v>4</v>
      </c>
      <c r="F40" t="n">
        <v>0</v>
      </c>
      <c r="G40" t="n">
        <v>4</v>
      </c>
      <c r="H40" t="inlineStr">
        <is>
          <t>N</t>
        </is>
      </c>
      <c r="I40" t="inlineStr">
        <is>
          <t>Learning new patterns</t>
        </is>
      </c>
      <c r="J40" t="inlineStr">
        <is>
          <t>Quality control needed</t>
        </is>
      </c>
    </row>
    <row r="41">
      <c r="A41" t="inlineStr">
        <is>
          <t>EMP040</t>
        </is>
      </c>
      <c r="B41" t="inlineStr">
        <is>
          <t>Product</t>
        </is>
      </c>
      <c r="C41" t="inlineStr">
        <is>
          <t>UX Researcher</t>
        </is>
      </c>
      <c r="D41" t="inlineStr">
        <is>
          <t>Notion AI</t>
        </is>
      </c>
      <c r="E41" t="n">
        <v>9</v>
      </c>
      <c r="F41" t="n">
        <v>13</v>
      </c>
      <c r="G41" t="n">
        <v>7</v>
      </c>
      <c r="H41" t="inlineStr">
        <is>
          <t>Y</t>
        </is>
      </c>
      <c r="I41" t="inlineStr">
        <is>
          <t>Faster code completion</t>
        </is>
      </c>
      <c r="J41" t="inlineStr">
        <is>
          <t>Quality control needed</t>
        </is>
      </c>
    </row>
    <row r="42">
      <c r="A42" t="inlineStr">
        <is>
          <t>EMP041</t>
        </is>
      </c>
      <c r="B42" t="inlineStr">
        <is>
          <t>Engineering</t>
        </is>
      </c>
      <c r="C42" t="inlineStr">
        <is>
          <t>Senior Engineer</t>
        </is>
      </c>
      <c r="D42" t="inlineStr">
        <is>
          <t>GitHub Copilot</t>
        </is>
      </c>
      <c r="E42" t="n">
        <v>8</v>
      </c>
      <c r="F42" t="n">
        <v>22</v>
      </c>
      <c r="G42" t="n">
        <v>6</v>
      </c>
      <c r="H42" t="inlineStr">
        <is>
          <t>Y</t>
        </is>
      </c>
      <c r="I42" t="inlineStr">
        <is>
          <t>Quicker problem solving</t>
        </is>
      </c>
      <c r="J42" t="inlineStr">
        <is>
          <t>Quality control needed</t>
        </is>
      </c>
    </row>
    <row r="43">
      <c r="A43" t="inlineStr">
        <is>
          <t>EMP042</t>
        </is>
      </c>
      <c r="B43" t="inlineStr">
        <is>
          <t>Marketing</t>
        </is>
      </c>
      <c r="C43" t="inlineStr">
        <is>
          <t>Marketing Manager</t>
        </is>
      </c>
      <c r="D43" t="inlineStr">
        <is>
          <t>Copy.ai</t>
        </is>
      </c>
      <c r="E43" t="n">
        <v>9</v>
      </c>
      <c r="F43" t="n">
        <v>9</v>
      </c>
      <c r="G43" t="n">
        <v>6</v>
      </c>
      <c r="H43" t="inlineStr">
        <is>
          <t>Y</t>
        </is>
      </c>
      <c r="I43" t="inlineStr">
        <is>
          <t>Reduced research time</t>
        </is>
      </c>
      <c r="J43" t="inlineStr">
        <is>
          <t>Quality control needed</t>
        </is>
      </c>
    </row>
    <row r="44">
      <c r="A44" t="inlineStr">
        <is>
          <t>EMP043</t>
        </is>
      </c>
      <c r="B44" t="inlineStr">
        <is>
          <t>Engineering</t>
        </is>
      </c>
      <c r="C44" t="inlineStr">
        <is>
          <t>Software Engineer</t>
        </is>
      </c>
      <c r="D44" t="inlineStr">
        <is>
          <t>GitHub Copilot</t>
        </is>
      </c>
      <c r="E44" t="n">
        <v>9</v>
      </c>
      <c r="F44" t="n">
        <v>8</v>
      </c>
      <c r="G44" t="n">
        <v>8</v>
      </c>
      <c r="H44" t="inlineStr">
        <is>
          <t>Y</t>
        </is>
      </c>
      <c r="I44" t="inlineStr">
        <is>
          <t>Learning new patterns</t>
        </is>
      </c>
      <c r="J44" t="inlineStr">
        <is>
          <t>Data privacy concerns</t>
        </is>
      </c>
    </row>
    <row r="45">
      <c r="A45" t="inlineStr">
        <is>
          <t>EMP044</t>
        </is>
      </c>
      <c r="B45" t="inlineStr">
        <is>
          <t>Marketing</t>
        </is>
      </c>
      <c r="C45" t="inlineStr">
        <is>
          <t>Marketing Manager</t>
        </is>
      </c>
      <c r="D45" t="inlineStr">
        <is>
          <t>Jasper</t>
        </is>
      </c>
      <c r="E45" t="n">
        <v>9</v>
      </c>
      <c r="F45" t="n">
        <v>16</v>
      </c>
      <c r="G45" t="n">
        <v>7</v>
      </c>
      <c r="H45" t="inlineStr">
        <is>
          <t>Y</t>
        </is>
      </c>
      <c r="I45" t="inlineStr">
        <is>
          <t>Better documentation</t>
        </is>
      </c>
      <c r="J45" t="inlineStr">
        <is>
          <t>Occasional inaccuracies</t>
        </is>
      </c>
    </row>
    <row r="46">
      <c r="A46" t="inlineStr">
        <is>
          <t>EMP045</t>
        </is>
      </c>
      <c r="B46" t="inlineStr">
        <is>
          <t>Product</t>
        </is>
      </c>
      <c r="C46" t="inlineStr">
        <is>
          <t>Product Manager</t>
        </is>
      </c>
      <c r="D46" t="inlineStr">
        <is>
          <t>ChatGPT</t>
        </is>
      </c>
      <c r="E46" t="n">
        <v>7</v>
      </c>
      <c r="F46" t="n">
        <v>10</v>
      </c>
      <c r="G46" t="n">
        <v>6</v>
      </c>
      <c r="H46" t="inlineStr">
        <is>
          <t>Y</t>
        </is>
      </c>
      <c r="I46" t="inlineStr">
        <is>
          <t>Faster code completion</t>
        </is>
      </c>
      <c r="J46" t="inlineStr">
        <is>
          <t>Quality control needed</t>
        </is>
      </c>
    </row>
    <row r="47">
      <c r="A47" t="inlineStr">
        <is>
          <t>EMP046</t>
        </is>
      </c>
      <c r="B47" t="inlineStr">
        <is>
          <t>Marketing</t>
        </is>
      </c>
      <c r="C47" t="inlineStr">
        <is>
          <t>Content Writer</t>
        </is>
      </c>
      <c r="D47" t="inlineStr">
        <is>
          <t>Jasper</t>
        </is>
      </c>
      <c r="E47" t="n">
        <v>6</v>
      </c>
      <c r="F47" t="n">
        <v>10</v>
      </c>
      <c r="G47" t="n">
        <v>5</v>
      </c>
      <c r="H47" t="inlineStr">
        <is>
          <t>Y</t>
        </is>
      </c>
      <c r="I47" t="inlineStr">
        <is>
          <t>Learning new patterns</t>
        </is>
      </c>
      <c r="J47" t="inlineStr">
        <is>
          <t>Prompt engineering difficult</t>
        </is>
      </c>
    </row>
    <row r="48">
      <c r="A48" t="inlineStr">
        <is>
          <t>EMP047</t>
        </is>
      </c>
      <c r="B48" t="inlineStr">
        <is>
          <t>Customer Support</t>
        </is>
      </c>
      <c r="C48" t="inlineStr">
        <is>
          <t>Support Manager</t>
        </is>
      </c>
      <c r="D48" t="inlineStr">
        <is>
          <t>ChatGPT</t>
        </is>
      </c>
      <c r="E48" t="n">
        <v>4</v>
      </c>
      <c r="F48" t="n">
        <v>6</v>
      </c>
      <c r="G48" t="n">
        <v>3</v>
      </c>
      <c r="H48" t="inlineStr">
        <is>
          <t>N</t>
        </is>
      </c>
      <c r="I48" t="inlineStr">
        <is>
          <t>Quicker problem solving</t>
        </is>
      </c>
      <c r="J48" t="inlineStr">
        <is>
          <t>Prompt engineering difficult</t>
        </is>
      </c>
    </row>
    <row r="49">
      <c r="A49" t="inlineStr">
        <is>
          <t>EMP048</t>
        </is>
      </c>
      <c r="B49" t="inlineStr">
        <is>
          <t>Engineering</t>
        </is>
      </c>
      <c r="C49" t="inlineStr">
        <is>
          <t>Senior Engineer</t>
        </is>
      </c>
      <c r="D49" t="inlineStr">
        <is>
          <t>ChatGPT</t>
        </is>
      </c>
      <c r="E49" t="n">
        <v>8</v>
      </c>
      <c r="F49" t="n">
        <v>20</v>
      </c>
      <c r="G49" t="n">
        <v>9</v>
      </c>
      <c r="H49" t="inlineStr">
        <is>
          <t>Y</t>
        </is>
      </c>
      <c r="I49" t="inlineStr">
        <is>
          <t>Time savings on routine tasks</t>
        </is>
      </c>
      <c r="J49" t="inlineStr">
        <is>
          <t>Data privacy concerns</t>
        </is>
      </c>
    </row>
    <row r="50">
      <c r="A50" t="inlineStr">
        <is>
          <t>EMP049</t>
        </is>
      </c>
      <c r="B50" t="inlineStr">
        <is>
          <t>Engineering</t>
        </is>
      </c>
      <c r="C50" t="inlineStr">
        <is>
          <t>DevOps Engineer</t>
        </is>
      </c>
      <c r="D50" t="inlineStr">
        <is>
          <t>ChatGPT</t>
        </is>
      </c>
      <c r="E50" t="n">
        <v>6</v>
      </c>
      <c r="F50" t="n">
        <v>11</v>
      </c>
      <c r="G50" t="n">
        <v>9</v>
      </c>
      <c r="H50" t="inlineStr">
        <is>
          <t>N</t>
        </is>
      </c>
      <c r="I50" t="inlineStr">
        <is>
          <t>Reduced research time</t>
        </is>
      </c>
      <c r="J50" t="inlineStr">
        <is>
          <t>Tool switching overhead</t>
        </is>
      </c>
    </row>
    <row r="51">
      <c r="A51" t="inlineStr">
        <is>
          <t>EMP050</t>
        </is>
      </c>
      <c r="B51" t="inlineStr">
        <is>
          <t>Marketing</t>
        </is>
      </c>
      <c r="C51" t="inlineStr">
        <is>
          <t>Marketing Manager</t>
        </is>
      </c>
      <c r="D51" t="inlineStr">
        <is>
          <t>Midjourney</t>
        </is>
      </c>
      <c r="E51" t="n">
        <v>5</v>
      </c>
      <c r="F51" t="n">
        <v>9</v>
      </c>
      <c r="G51" t="n">
        <v>4</v>
      </c>
      <c r="H51" t="inlineStr">
        <is>
          <t>N</t>
        </is>
      </c>
      <c r="I51" t="inlineStr">
        <is>
          <t>Learning new patterns</t>
        </is>
      </c>
      <c r="J51" t="inlineStr">
        <is>
          <t>Quality control needed</t>
        </is>
      </c>
    </row>
    <row r="52">
      <c r="A52" t="inlineStr">
        <is>
          <t>EMP051</t>
        </is>
      </c>
      <c r="B52" t="inlineStr">
        <is>
          <t>Engineering</t>
        </is>
      </c>
      <c r="C52" t="inlineStr">
        <is>
          <t>QA Engineer</t>
        </is>
      </c>
      <c r="D52" t="inlineStr">
        <is>
          <t>Claude</t>
        </is>
      </c>
      <c r="E52" t="n">
        <v>8</v>
      </c>
      <c r="F52" t="n">
        <v>14</v>
      </c>
      <c r="G52" t="n">
        <v>10</v>
      </c>
      <c r="H52" t="inlineStr">
        <is>
          <t>Y</t>
        </is>
      </c>
      <c r="I52" t="inlineStr">
        <is>
          <t>Faster code completion</t>
        </is>
      </c>
      <c r="J52" t="inlineStr">
        <is>
          <t>Occasional inaccuracies</t>
        </is>
      </c>
    </row>
    <row r="53">
      <c r="A53" t="inlineStr">
        <is>
          <t>EMP052</t>
        </is>
      </c>
      <c r="B53" t="inlineStr">
        <is>
          <t>Marketing</t>
        </is>
      </c>
      <c r="C53" t="inlineStr">
        <is>
          <t>Marketing Manager</t>
        </is>
      </c>
      <c r="D53" t="inlineStr">
        <is>
          <t>Jasper</t>
        </is>
      </c>
      <c r="E53" t="n">
        <v>8</v>
      </c>
      <c r="F53" t="n">
        <v>4</v>
      </c>
      <c r="G53" t="n">
        <v>6</v>
      </c>
      <c r="H53" t="inlineStr">
        <is>
          <t>Y</t>
        </is>
      </c>
      <c r="I53" t="inlineStr">
        <is>
          <t>Enhanced creativity</t>
        </is>
      </c>
      <c r="J53" t="inlineStr">
        <is>
          <t>Tool switching overhead</t>
        </is>
      </c>
    </row>
    <row r="54">
      <c r="A54" t="inlineStr">
        <is>
          <t>EMP053</t>
        </is>
      </c>
      <c r="B54" t="inlineStr">
        <is>
          <t>Marketing</t>
        </is>
      </c>
      <c r="C54" t="inlineStr">
        <is>
          <t>Demand Gen Specialist</t>
        </is>
      </c>
      <c r="D54" t="inlineStr">
        <is>
          <t>Midjourney</t>
        </is>
      </c>
      <c r="E54" t="n">
        <v>8</v>
      </c>
      <c r="F54" t="n">
        <v>6</v>
      </c>
      <c r="G54" t="n">
        <v>8</v>
      </c>
      <c r="H54" t="inlineStr">
        <is>
          <t>Y</t>
        </is>
      </c>
      <c r="I54" t="inlineStr">
        <is>
          <t>Improved content quality</t>
        </is>
      </c>
      <c r="J54" t="inlineStr">
        <is>
          <t>Quality control needed</t>
        </is>
      </c>
    </row>
    <row r="55">
      <c r="A55" t="inlineStr">
        <is>
          <t>EMP054</t>
        </is>
      </c>
      <c r="B55" t="inlineStr">
        <is>
          <t>Engineering</t>
        </is>
      </c>
      <c r="C55" t="inlineStr">
        <is>
          <t>DevOps Engineer</t>
        </is>
      </c>
      <c r="D55" t="inlineStr">
        <is>
          <t>ChatGPT</t>
        </is>
      </c>
      <c r="E55" t="n">
        <v>6</v>
      </c>
      <c r="F55" t="n">
        <v>22</v>
      </c>
      <c r="G55" t="n">
        <v>10</v>
      </c>
      <c r="H55" t="inlineStr">
        <is>
          <t>N</t>
        </is>
      </c>
      <c r="I55" t="inlineStr">
        <is>
          <t>Learning new patterns</t>
        </is>
      </c>
      <c r="J55" t="inlineStr">
        <is>
          <t>Prompt engineering difficult</t>
        </is>
      </c>
    </row>
    <row r="56">
      <c r="A56" t="inlineStr">
        <is>
          <t>EMP055</t>
        </is>
      </c>
      <c r="B56" t="inlineStr">
        <is>
          <t>Engineering</t>
        </is>
      </c>
      <c r="C56" t="inlineStr">
        <is>
          <t>QA Engineer</t>
        </is>
      </c>
      <c r="D56" t="inlineStr">
        <is>
          <t>GitHub Copilot</t>
        </is>
      </c>
      <c r="E56" t="n">
        <v>10</v>
      </c>
      <c r="F56" t="n">
        <v>18</v>
      </c>
      <c r="G56" t="n">
        <v>8</v>
      </c>
      <c r="H56" t="inlineStr">
        <is>
          <t>Y</t>
        </is>
      </c>
      <c r="I56" t="inlineStr">
        <is>
          <t>Time savings on routine tasks</t>
        </is>
      </c>
      <c r="J56" t="inlineStr">
        <is>
          <t>Quality control needed</t>
        </is>
      </c>
    </row>
    <row r="57">
      <c r="A57" t="inlineStr">
        <is>
          <t>EMP056</t>
        </is>
      </c>
      <c r="B57" t="inlineStr">
        <is>
          <t>Operations</t>
        </is>
      </c>
      <c r="C57" t="inlineStr">
        <is>
          <t>Legal Counsel</t>
        </is>
      </c>
      <c r="D57" t="inlineStr">
        <is>
          <t>ChatGPT</t>
        </is>
      </c>
      <c r="E57" t="n">
        <v>6</v>
      </c>
      <c r="F57" t="n">
        <v>3</v>
      </c>
      <c r="G57" t="n">
        <v>5</v>
      </c>
      <c r="H57" t="inlineStr">
        <is>
          <t>Y</t>
        </is>
      </c>
      <c r="I57" t="inlineStr">
        <is>
          <t>Enhanced creativity</t>
        </is>
      </c>
      <c r="J57" t="inlineStr">
        <is>
          <t>Prompt engineering difficult</t>
        </is>
      </c>
    </row>
    <row r="58">
      <c r="A58" t="inlineStr">
        <is>
          <t>EMP057</t>
        </is>
      </c>
      <c r="B58" t="inlineStr">
        <is>
          <t>Product</t>
        </is>
      </c>
      <c r="C58" t="inlineStr">
        <is>
          <t>Product Designer</t>
        </is>
      </c>
      <c r="D58" t="inlineStr">
        <is>
          <t>Claude</t>
        </is>
      </c>
      <c r="E58" t="n">
        <v>8</v>
      </c>
      <c r="F58" t="n">
        <v>8</v>
      </c>
      <c r="G58" t="n">
        <v>5</v>
      </c>
      <c r="H58" t="inlineStr">
        <is>
          <t>Y</t>
        </is>
      </c>
      <c r="I58" t="inlineStr">
        <is>
          <t>Improved content quality</t>
        </is>
      </c>
      <c r="J58" t="inlineStr">
        <is>
          <t>Prompt engineering difficult</t>
        </is>
      </c>
    </row>
    <row r="59">
      <c r="A59" t="inlineStr">
        <is>
          <t>EMP058</t>
        </is>
      </c>
      <c r="B59" t="inlineStr">
        <is>
          <t>Customer Support</t>
        </is>
      </c>
      <c r="C59" t="inlineStr">
        <is>
          <t>Support Manager</t>
        </is>
      </c>
      <c r="D59" t="inlineStr">
        <is>
          <t>None</t>
        </is>
      </c>
      <c r="E59" t="n">
        <v>5</v>
      </c>
      <c r="F59" t="n">
        <v>3</v>
      </c>
      <c r="G59" t="n">
        <v>5</v>
      </c>
      <c r="H59" t="inlineStr">
        <is>
          <t>Y</t>
        </is>
      </c>
      <c r="I59" t="inlineStr">
        <is>
          <t>Improved content quality</t>
        </is>
      </c>
      <c r="J59" t="inlineStr">
        <is>
          <t>Limited use cases for my role</t>
        </is>
      </c>
    </row>
    <row r="60">
      <c r="A60" t="inlineStr">
        <is>
          <t>EMP059</t>
        </is>
      </c>
      <c r="B60" t="inlineStr">
        <is>
          <t>Product</t>
        </is>
      </c>
      <c r="C60" t="inlineStr">
        <is>
          <t>Product Manager</t>
        </is>
      </c>
      <c r="D60" t="inlineStr">
        <is>
          <t>ChatGPT</t>
        </is>
      </c>
      <c r="E60" t="n">
        <v>7</v>
      </c>
      <c r="F60" t="n">
        <v>5</v>
      </c>
      <c r="G60" t="n">
        <v>7</v>
      </c>
      <c r="H60" t="inlineStr">
        <is>
          <t>Y</t>
        </is>
      </c>
      <c r="I60" t="inlineStr">
        <is>
          <t>Time savings on routine tasks</t>
        </is>
      </c>
      <c r="J60" t="inlineStr">
        <is>
          <t>Integration with tools</t>
        </is>
      </c>
    </row>
    <row r="61">
      <c r="A61" t="inlineStr">
        <is>
          <t>EMP060</t>
        </is>
      </c>
      <c r="B61" t="inlineStr">
        <is>
          <t>Product</t>
        </is>
      </c>
      <c r="C61" t="inlineStr">
        <is>
          <t>Senior PM</t>
        </is>
      </c>
      <c r="D61" t="inlineStr">
        <is>
          <t>Claude</t>
        </is>
      </c>
      <c r="E61" t="n">
        <v>5</v>
      </c>
      <c r="F61" t="n">
        <v>7</v>
      </c>
      <c r="G61" t="n">
        <v>5</v>
      </c>
      <c r="H61" t="inlineStr">
        <is>
          <t>N</t>
        </is>
      </c>
      <c r="I61" t="inlineStr">
        <is>
          <t>Better documentation</t>
        </is>
      </c>
      <c r="J61" t="inlineStr">
        <is>
          <t>Limited use cases for my role</t>
        </is>
      </c>
    </row>
    <row r="62">
      <c r="A62" t="inlineStr">
        <is>
          <t>EMP061</t>
        </is>
      </c>
      <c r="B62" t="inlineStr">
        <is>
          <t>Operations</t>
        </is>
      </c>
      <c r="C62" t="inlineStr">
        <is>
          <t>HR Specialist</t>
        </is>
      </c>
      <c r="D62" t="inlineStr">
        <is>
          <t>ChatGPT</t>
        </is>
      </c>
      <c r="E62" t="n">
        <v>6</v>
      </c>
      <c r="F62" t="n">
        <v>7</v>
      </c>
      <c r="G62" t="n">
        <v>6</v>
      </c>
      <c r="H62" t="inlineStr">
        <is>
          <t>Y</t>
        </is>
      </c>
      <c r="I62" t="inlineStr">
        <is>
          <t>Quicker problem solving</t>
        </is>
      </c>
      <c r="J62" t="inlineStr">
        <is>
          <t>Learning curve steep</t>
        </is>
      </c>
    </row>
    <row r="63">
      <c r="A63" t="inlineStr">
        <is>
          <t>EMP062</t>
        </is>
      </c>
      <c r="B63" t="inlineStr">
        <is>
          <t>Engineering</t>
        </is>
      </c>
      <c r="C63" t="inlineStr">
        <is>
          <t>DevOps Engineer</t>
        </is>
      </c>
      <c r="D63" t="inlineStr">
        <is>
          <t>Cursor</t>
        </is>
      </c>
      <c r="E63" t="n">
        <v>7</v>
      </c>
      <c r="F63" t="n">
        <v>20</v>
      </c>
      <c r="G63" t="n">
        <v>7</v>
      </c>
      <c r="H63" t="inlineStr">
        <is>
          <t>Y</t>
        </is>
      </c>
      <c r="I63" t="inlineStr">
        <is>
          <t>Faster code completion</t>
        </is>
      </c>
      <c r="J63" t="inlineStr">
        <is>
          <t>Integration with tools</t>
        </is>
      </c>
    </row>
    <row r="64">
      <c r="A64" t="inlineStr">
        <is>
          <t>EMP063</t>
        </is>
      </c>
      <c r="B64" t="inlineStr">
        <is>
          <t>Engineering</t>
        </is>
      </c>
      <c r="C64" t="inlineStr">
        <is>
          <t>DevOps Engineer</t>
        </is>
      </c>
      <c r="D64" t="inlineStr">
        <is>
          <t>Claude</t>
        </is>
      </c>
      <c r="E64" t="n">
        <v>7</v>
      </c>
      <c r="F64" t="n">
        <v>18</v>
      </c>
      <c r="G64" t="n">
        <v>9</v>
      </c>
      <c r="H64" t="inlineStr">
        <is>
          <t>Y</t>
        </is>
      </c>
      <c r="I64" t="inlineStr">
        <is>
          <t>Reduced research time</t>
        </is>
      </c>
      <c r="J64" t="inlineStr">
        <is>
          <t>Prompt engineering difficult</t>
        </is>
      </c>
    </row>
    <row r="65">
      <c r="A65" t="inlineStr">
        <is>
          <t>EMP064</t>
        </is>
      </c>
      <c r="B65" t="inlineStr">
        <is>
          <t>Customer Support</t>
        </is>
      </c>
      <c r="C65" t="inlineStr">
        <is>
          <t>Senior Support Agent</t>
        </is>
      </c>
      <c r="D65" t="inlineStr">
        <is>
          <t>None</t>
        </is>
      </c>
      <c r="E65" t="n">
        <v>4</v>
      </c>
      <c r="F65" t="n">
        <v>3</v>
      </c>
      <c r="G65" t="n">
        <v>5</v>
      </c>
      <c r="H65" t="inlineStr">
        <is>
          <t>N</t>
        </is>
      </c>
      <c r="I65" t="inlineStr">
        <is>
          <t>Improved content quality</t>
        </is>
      </c>
      <c r="J65" t="inlineStr">
        <is>
          <t>Quality control needed</t>
        </is>
      </c>
    </row>
    <row r="66">
      <c r="A66" t="inlineStr">
        <is>
          <t>EMP065</t>
        </is>
      </c>
      <c r="B66" t="inlineStr">
        <is>
          <t>Customer Support</t>
        </is>
      </c>
      <c r="C66" t="inlineStr">
        <is>
          <t>Senior Support Agent</t>
        </is>
      </c>
      <c r="D66" t="inlineStr">
        <is>
          <t>ChatGPT</t>
        </is>
      </c>
      <c r="E66" t="n">
        <v>4</v>
      </c>
      <c r="F66" t="n">
        <v>3</v>
      </c>
      <c r="G66" t="n">
        <v>4</v>
      </c>
      <c r="H66" t="inlineStr">
        <is>
          <t>N</t>
        </is>
      </c>
      <c r="I66" t="inlineStr">
        <is>
          <t>Time savings on routine tasks</t>
        </is>
      </c>
      <c r="J66" t="inlineStr">
        <is>
          <t>Integration with tools</t>
        </is>
      </c>
    </row>
    <row r="67">
      <c r="A67" t="inlineStr">
        <is>
          <t>EMP066</t>
        </is>
      </c>
      <c r="B67" t="inlineStr">
        <is>
          <t>Marketing</t>
        </is>
      </c>
      <c r="C67" t="inlineStr">
        <is>
          <t>Social Media Manager</t>
        </is>
      </c>
      <c r="D67" t="inlineStr">
        <is>
          <t>ChatGPT</t>
        </is>
      </c>
      <c r="E67" t="n">
        <v>6</v>
      </c>
      <c r="F67" t="n">
        <v>5</v>
      </c>
      <c r="G67" t="n">
        <v>8</v>
      </c>
      <c r="H67" t="inlineStr">
        <is>
          <t>Y</t>
        </is>
      </c>
      <c r="I67" t="inlineStr">
        <is>
          <t>Quicker problem solving</t>
        </is>
      </c>
      <c r="J67" t="inlineStr">
        <is>
          <t>Integration with tools</t>
        </is>
      </c>
    </row>
    <row r="68">
      <c r="A68" t="inlineStr">
        <is>
          <t>EMP067</t>
        </is>
      </c>
      <c r="B68" t="inlineStr">
        <is>
          <t>Operations</t>
        </is>
      </c>
      <c r="C68" t="inlineStr">
        <is>
          <t>HR Specialist</t>
        </is>
      </c>
      <c r="D68" t="inlineStr">
        <is>
          <t>Claude</t>
        </is>
      </c>
      <c r="E68" t="n">
        <v>4</v>
      </c>
      <c r="F68" t="n">
        <v>7</v>
      </c>
      <c r="G68" t="n">
        <v>3</v>
      </c>
      <c r="H68" t="inlineStr">
        <is>
          <t>N</t>
        </is>
      </c>
      <c r="I68" t="inlineStr">
        <is>
          <t>Learning new patterns</t>
        </is>
      </c>
      <c r="J68" t="inlineStr">
        <is>
          <t>Limited use cases for my role</t>
        </is>
      </c>
    </row>
    <row r="69">
      <c r="A69" t="inlineStr">
        <is>
          <t>EMP068</t>
        </is>
      </c>
      <c r="B69" t="inlineStr">
        <is>
          <t>Operations</t>
        </is>
      </c>
      <c r="C69" t="inlineStr">
        <is>
          <t>Finance Analyst</t>
        </is>
      </c>
      <c r="D69" t="inlineStr">
        <is>
          <t>None</t>
        </is>
      </c>
      <c r="E69" t="n">
        <v>4</v>
      </c>
      <c r="F69" t="n">
        <v>7</v>
      </c>
      <c r="G69" t="n">
        <v>6</v>
      </c>
      <c r="H69" t="inlineStr">
        <is>
          <t>N</t>
        </is>
      </c>
      <c r="I69" t="inlineStr">
        <is>
          <t>Faster code completion</t>
        </is>
      </c>
      <c r="J69" t="inlineStr">
        <is>
          <t>Prompt engineering difficult</t>
        </is>
      </c>
    </row>
    <row r="70">
      <c r="A70" t="inlineStr">
        <is>
          <t>EMP069</t>
        </is>
      </c>
      <c r="B70" t="inlineStr">
        <is>
          <t>Operations</t>
        </is>
      </c>
      <c r="C70" t="inlineStr">
        <is>
          <t>Finance Analyst</t>
        </is>
      </c>
      <c r="D70" t="inlineStr">
        <is>
          <t>Claude</t>
        </is>
      </c>
      <c r="E70" t="n">
        <v>5</v>
      </c>
      <c r="F70" t="n">
        <v>7</v>
      </c>
      <c r="G70" t="n">
        <v>5</v>
      </c>
      <c r="H70" t="inlineStr">
        <is>
          <t>Y</t>
        </is>
      </c>
      <c r="I70" t="inlineStr">
        <is>
          <t>Improved content quality</t>
        </is>
      </c>
      <c r="J70" t="inlineStr">
        <is>
          <t>Limited use cases for my role</t>
        </is>
      </c>
    </row>
    <row r="71">
      <c r="A71" t="inlineStr">
        <is>
          <t>EMP070</t>
        </is>
      </c>
      <c r="B71" t="inlineStr">
        <is>
          <t>Product</t>
        </is>
      </c>
      <c r="C71" t="inlineStr">
        <is>
          <t>Product Designer</t>
        </is>
      </c>
      <c r="D71" t="inlineStr">
        <is>
          <t>Claude</t>
        </is>
      </c>
      <c r="E71" t="n">
        <v>8</v>
      </c>
      <c r="F71" t="n">
        <v>4</v>
      </c>
      <c r="G71" t="n">
        <v>8</v>
      </c>
      <c r="H71" t="inlineStr">
        <is>
          <t>Y</t>
        </is>
      </c>
      <c r="I71" t="inlineStr">
        <is>
          <t>Learning new patterns</t>
        </is>
      </c>
      <c r="J71" t="inlineStr">
        <is>
          <t>Prompt engineering difficult</t>
        </is>
      </c>
    </row>
    <row r="72">
      <c r="A72" t="inlineStr">
        <is>
          <t>EMP071</t>
        </is>
      </c>
      <c r="B72" t="inlineStr">
        <is>
          <t>Product</t>
        </is>
      </c>
      <c r="C72" t="inlineStr">
        <is>
          <t>UX Researcher</t>
        </is>
      </c>
      <c r="D72" t="inlineStr">
        <is>
          <t>Notion AI</t>
        </is>
      </c>
      <c r="E72" t="n">
        <v>6</v>
      </c>
      <c r="F72" t="n">
        <v>10</v>
      </c>
      <c r="G72" t="n">
        <v>5</v>
      </c>
      <c r="H72" t="inlineStr">
        <is>
          <t>Y</t>
        </is>
      </c>
      <c r="I72" t="inlineStr">
        <is>
          <t>Faster code completion</t>
        </is>
      </c>
      <c r="J72" t="inlineStr">
        <is>
          <t>Occasional inaccuracies</t>
        </is>
      </c>
    </row>
    <row r="73">
      <c r="A73" t="inlineStr">
        <is>
          <t>EMP072</t>
        </is>
      </c>
      <c r="B73" t="inlineStr">
        <is>
          <t>Operations</t>
        </is>
      </c>
      <c r="C73" t="inlineStr">
        <is>
          <t>HR Specialist</t>
        </is>
      </c>
      <c r="D73" t="inlineStr">
        <is>
          <t>Claude</t>
        </is>
      </c>
      <c r="E73" t="n">
        <v>6</v>
      </c>
      <c r="F73" t="n">
        <v>1</v>
      </c>
      <c r="G73" t="n">
        <v>4</v>
      </c>
      <c r="H73" t="inlineStr">
        <is>
          <t>Y</t>
        </is>
      </c>
      <c r="I73" t="inlineStr">
        <is>
          <t>Enhanced creativity</t>
        </is>
      </c>
      <c r="J73" t="inlineStr">
        <is>
          <t>Tool switching overhead</t>
        </is>
      </c>
    </row>
    <row r="74">
      <c r="A74" t="inlineStr">
        <is>
          <t>EMP073</t>
        </is>
      </c>
      <c r="B74" t="inlineStr">
        <is>
          <t>Product</t>
        </is>
      </c>
      <c r="C74" t="inlineStr">
        <is>
          <t>UX Researcher</t>
        </is>
      </c>
      <c r="D74" t="inlineStr">
        <is>
          <t>Claude</t>
        </is>
      </c>
      <c r="E74" t="n">
        <v>7</v>
      </c>
      <c r="F74" t="n">
        <v>10</v>
      </c>
      <c r="G74" t="n">
        <v>7</v>
      </c>
      <c r="H74" t="inlineStr">
        <is>
          <t>Y</t>
        </is>
      </c>
      <c r="I74" t="inlineStr">
        <is>
          <t>Enhanced creativity</t>
        </is>
      </c>
      <c r="J74" t="inlineStr">
        <is>
          <t>Quality control needed</t>
        </is>
      </c>
    </row>
    <row r="75">
      <c r="A75" t="inlineStr">
        <is>
          <t>EMP074</t>
        </is>
      </c>
      <c r="B75" t="inlineStr">
        <is>
          <t>Engineering</t>
        </is>
      </c>
      <c r="C75" t="inlineStr">
        <is>
          <t>DevOps Engineer</t>
        </is>
      </c>
      <c r="D75" t="inlineStr">
        <is>
          <t>Claude</t>
        </is>
      </c>
      <c r="E75" t="n">
        <v>6</v>
      </c>
      <c r="F75" t="n">
        <v>8</v>
      </c>
      <c r="G75" t="n">
        <v>10</v>
      </c>
      <c r="H75" t="inlineStr">
        <is>
          <t>N</t>
        </is>
      </c>
      <c r="I75" t="inlineStr">
        <is>
          <t>Improved content quality</t>
        </is>
      </c>
      <c r="J75" t="inlineStr">
        <is>
          <t>Occasional inaccuracies</t>
        </is>
      </c>
    </row>
    <row r="76">
      <c r="A76" t="inlineStr">
        <is>
          <t>EMP075</t>
        </is>
      </c>
      <c r="B76" t="inlineStr">
        <is>
          <t>Engineering</t>
        </is>
      </c>
      <c r="C76" t="inlineStr">
        <is>
          <t>Software Engineer</t>
        </is>
      </c>
      <c r="D76" t="inlineStr">
        <is>
          <t>GitHub Copilot</t>
        </is>
      </c>
      <c r="E76" t="n">
        <v>7</v>
      </c>
      <c r="F76" t="n">
        <v>21</v>
      </c>
      <c r="G76" t="n">
        <v>7</v>
      </c>
      <c r="H76" t="inlineStr">
        <is>
          <t>Y</t>
        </is>
      </c>
      <c r="I76" t="inlineStr">
        <is>
          <t>Quicker problem solving</t>
        </is>
      </c>
      <c r="J76" t="inlineStr">
        <is>
          <t>Integration with tools</t>
        </is>
      </c>
    </row>
    <row r="77">
      <c r="A77" t="inlineStr">
        <is>
          <t>EMP076</t>
        </is>
      </c>
      <c r="B77" t="inlineStr">
        <is>
          <t>Product</t>
        </is>
      </c>
      <c r="C77" t="inlineStr">
        <is>
          <t>UX Researcher</t>
        </is>
      </c>
      <c r="D77" t="inlineStr">
        <is>
          <t>Notion AI</t>
        </is>
      </c>
      <c r="E77" t="n">
        <v>5</v>
      </c>
      <c r="F77" t="n">
        <v>11</v>
      </c>
      <c r="G77" t="n">
        <v>6</v>
      </c>
      <c r="H77" t="inlineStr">
        <is>
          <t>N</t>
        </is>
      </c>
      <c r="I77" t="inlineStr">
        <is>
          <t>Time savings on routine tasks</t>
        </is>
      </c>
      <c r="J77" t="inlineStr">
        <is>
          <t>Tool switching overhead</t>
        </is>
      </c>
    </row>
    <row r="78">
      <c r="A78" t="inlineStr">
        <is>
          <t>EMP077</t>
        </is>
      </c>
      <c r="B78" t="inlineStr">
        <is>
          <t>Product</t>
        </is>
      </c>
      <c r="C78" t="inlineStr">
        <is>
          <t>Product Manager</t>
        </is>
      </c>
      <c r="D78" t="inlineStr">
        <is>
          <t>Notion AI</t>
        </is>
      </c>
      <c r="E78" t="n">
        <v>6</v>
      </c>
      <c r="F78" t="n">
        <v>5</v>
      </c>
      <c r="G78" t="n">
        <v>7</v>
      </c>
      <c r="H78" t="inlineStr">
        <is>
          <t>Y</t>
        </is>
      </c>
      <c r="I78" t="inlineStr">
        <is>
          <t>Faster code completion</t>
        </is>
      </c>
      <c r="J78" t="inlineStr">
        <is>
          <t>Quality control needed</t>
        </is>
      </c>
    </row>
    <row r="79">
      <c r="A79" t="inlineStr">
        <is>
          <t>EMP078</t>
        </is>
      </c>
      <c r="B79" t="inlineStr">
        <is>
          <t>Customer Support</t>
        </is>
      </c>
      <c r="C79" t="inlineStr">
        <is>
          <t>Support Manager</t>
        </is>
      </c>
      <c r="D79" t="inlineStr">
        <is>
          <t>ChatGPT</t>
        </is>
      </c>
      <c r="E79" t="n">
        <v>6</v>
      </c>
      <c r="F79" t="n">
        <v>5</v>
      </c>
      <c r="G79" t="n">
        <v>5</v>
      </c>
      <c r="H79" t="inlineStr">
        <is>
          <t>Y</t>
        </is>
      </c>
      <c r="I79" t="inlineStr">
        <is>
          <t>Better documentation</t>
        </is>
      </c>
      <c r="J79" t="inlineStr">
        <is>
          <t>Integration with tools</t>
        </is>
      </c>
    </row>
    <row r="80">
      <c r="A80" t="inlineStr">
        <is>
          <t>EMP079</t>
        </is>
      </c>
      <c r="B80" t="inlineStr">
        <is>
          <t>Engineering</t>
        </is>
      </c>
      <c r="C80" t="inlineStr">
        <is>
          <t>QA Engineer</t>
        </is>
      </c>
      <c r="D80" t="inlineStr">
        <is>
          <t>GitHub Copilot</t>
        </is>
      </c>
      <c r="E80" t="n">
        <v>10</v>
      </c>
      <c r="F80" t="n">
        <v>20</v>
      </c>
      <c r="G80" t="n">
        <v>6</v>
      </c>
      <c r="H80" t="inlineStr">
        <is>
          <t>Y</t>
        </is>
      </c>
      <c r="I80" t="inlineStr">
        <is>
          <t>Learning new patterns</t>
        </is>
      </c>
      <c r="J80" t="inlineStr">
        <is>
          <t>Prompt engineering difficult</t>
        </is>
      </c>
    </row>
    <row r="81">
      <c r="A81" t="inlineStr">
        <is>
          <t>EMP080</t>
        </is>
      </c>
      <c r="B81" t="inlineStr">
        <is>
          <t>Marketing</t>
        </is>
      </c>
      <c r="C81" t="inlineStr">
        <is>
          <t>Content Writer</t>
        </is>
      </c>
      <c r="D81" t="inlineStr">
        <is>
          <t>Midjourney</t>
        </is>
      </c>
      <c r="E81" t="n">
        <v>8</v>
      </c>
      <c r="F81" t="n">
        <v>3</v>
      </c>
      <c r="G81" t="n">
        <v>6</v>
      </c>
      <c r="H81" t="inlineStr">
        <is>
          <t>Y</t>
        </is>
      </c>
      <c r="I81" t="inlineStr">
        <is>
          <t>Reduced research time</t>
        </is>
      </c>
      <c r="J81" t="inlineStr">
        <is>
          <t>Occasional inaccuracies</t>
        </is>
      </c>
    </row>
    <row r="82">
      <c r="A82" t="inlineStr">
        <is>
          <t>EMP081</t>
        </is>
      </c>
      <c r="B82" t="inlineStr">
        <is>
          <t>Operations</t>
        </is>
      </c>
      <c r="C82" t="inlineStr">
        <is>
          <t>Legal Counsel</t>
        </is>
      </c>
      <c r="D82" t="inlineStr">
        <is>
          <t>ChatGPT</t>
        </is>
      </c>
      <c r="E82" t="n">
        <v>6</v>
      </c>
      <c r="F82" t="n">
        <v>7</v>
      </c>
      <c r="G82" t="n">
        <v>4</v>
      </c>
      <c r="H82" t="inlineStr">
        <is>
          <t>Y</t>
        </is>
      </c>
      <c r="I82" t="inlineStr">
        <is>
          <t>Time savings on routine tasks</t>
        </is>
      </c>
      <c r="J82" t="inlineStr">
        <is>
          <t>Limited use cases for my role</t>
        </is>
      </c>
    </row>
    <row r="83">
      <c r="A83" t="inlineStr">
        <is>
          <t>EMP082</t>
        </is>
      </c>
      <c r="B83" t="inlineStr">
        <is>
          <t>Operations</t>
        </is>
      </c>
      <c r="C83" t="inlineStr">
        <is>
          <t>Operations Manager</t>
        </is>
      </c>
      <c r="D83" t="inlineStr">
        <is>
          <t>ChatGPT</t>
        </is>
      </c>
      <c r="E83" t="n">
        <v>7</v>
      </c>
      <c r="F83" t="n">
        <v>6</v>
      </c>
      <c r="G83" t="n">
        <v>5</v>
      </c>
      <c r="H83" t="inlineStr">
        <is>
          <t>Y</t>
        </is>
      </c>
      <c r="I83" t="inlineStr">
        <is>
          <t>Better documentation</t>
        </is>
      </c>
      <c r="J83" t="inlineStr">
        <is>
          <t>Quality control needed</t>
        </is>
      </c>
    </row>
    <row r="84">
      <c r="A84" t="inlineStr">
        <is>
          <t>EMP083</t>
        </is>
      </c>
      <c r="B84" t="inlineStr">
        <is>
          <t>Operations</t>
        </is>
      </c>
      <c r="C84" t="inlineStr">
        <is>
          <t>HR Specialist</t>
        </is>
      </c>
      <c r="D84" t="inlineStr">
        <is>
          <t>ChatGPT</t>
        </is>
      </c>
      <c r="E84" t="n">
        <v>6</v>
      </c>
      <c r="F84" t="n">
        <v>6</v>
      </c>
      <c r="G84" t="n">
        <v>6</v>
      </c>
      <c r="H84" t="inlineStr">
        <is>
          <t>Y</t>
        </is>
      </c>
      <c r="I84" t="inlineStr">
        <is>
          <t>Reduced research time</t>
        </is>
      </c>
      <c r="J84" t="inlineStr">
        <is>
          <t>Tool switching overhead</t>
        </is>
      </c>
    </row>
    <row r="85">
      <c r="A85" t="inlineStr">
        <is>
          <t>EMP084</t>
        </is>
      </c>
      <c r="B85" t="inlineStr">
        <is>
          <t>Product</t>
        </is>
      </c>
      <c r="C85" t="inlineStr">
        <is>
          <t>UX Researcher</t>
        </is>
      </c>
      <c r="D85" t="inlineStr">
        <is>
          <t>Claude</t>
        </is>
      </c>
      <c r="E85" t="n">
        <v>6</v>
      </c>
      <c r="F85" t="n">
        <v>8</v>
      </c>
      <c r="G85" t="n">
        <v>7</v>
      </c>
      <c r="H85" t="inlineStr">
        <is>
          <t>Y</t>
        </is>
      </c>
      <c r="I85" t="inlineStr">
        <is>
          <t>Time savings on routine tasks</t>
        </is>
      </c>
      <c r="J85" t="inlineStr">
        <is>
          <t>Quality control needed</t>
        </is>
      </c>
    </row>
    <row r="86">
      <c r="A86" t="inlineStr">
        <is>
          <t>EMP085</t>
        </is>
      </c>
      <c r="B86" t="inlineStr">
        <is>
          <t>Customer Support</t>
        </is>
      </c>
      <c r="C86" t="inlineStr">
        <is>
          <t>Support Agent</t>
        </is>
      </c>
      <c r="D86" t="inlineStr">
        <is>
          <t>ChatGPT</t>
        </is>
      </c>
      <c r="E86" t="n">
        <v>7</v>
      </c>
      <c r="F86" t="n">
        <v>0</v>
      </c>
      <c r="G86" t="n">
        <v>3</v>
      </c>
      <c r="H86" t="inlineStr">
        <is>
          <t>Y</t>
        </is>
      </c>
      <c r="I86" t="inlineStr">
        <is>
          <t>Enhanced creativity</t>
        </is>
      </c>
      <c r="J86" t="inlineStr">
        <is>
          <t>Limited use cases for my role</t>
        </is>
      </c>
    </row>
    <row r="87">
      <c r="A87" t="inlineStr">
        <is>
          <t>EMP086</t>
        </is>
      </c>
      <c r="B87" t="inlineStr">
        <is>
          <t>Customer Support</t>
        </is>
      </c>
      <c r="C87" t="inlineStr">
        <is>
          <t>Support Agent</t>
        </is>
      </c>
      <c r="D87" t="inlineStr">
        <is>
          <t>ChatGPT</t>
        </is>
      </c>
      <c r="E87" t="n">
        <v>6</v>
      </c>
      <c r="F87" t="n">
        <v>3</v>
      </c>
      <c r="G87" t="n">
        <v>5</v>
      </c>
      <c r="H87" t="inlineStr">
        <is>
          <t>Y</t>
        </is>
      </c>
      <c r="I87" t="inlineStr">
        <is>
          <t>Better documentation</t>
        </is>
      </c>
      <c r="J87" t="inlineStr">
        <is>
          <t>Quality control needed</t>
        </is>
      </c>
    </row>
    <row r="88">
      <c r="A88" t="inlineStr">
        <is>
          <t>EMP087</t>
        </is>
      </c>
      <c r="B88" t="inlineStr">
        <is>
          <t>Product</t>
        </is>
      </c>
      <c r="C88" t="inlineStr">
        <is>
          <t>UX Researcher</t>
        </is>
      </c>
      <c r="D88" t="inlineStr">
        <is>
          <t>Notion AI</t>
        </is>
      </c>
      <c r="E88" t="n">
        <v>6</v>
      </c>
      <c r="F88" t="n">
        <v>14</v>
      </c>
      <c r="G88" t="n">
        <v>7</v>
      </c>
      <c r="H88" t="inlineStr">
        <is>
          <t>Y</t>
        </is>
      </c>
      <c r="I88" t="inlineStr">
        <is>
          <t>Learning new patterns</t>
        </is>
      </c>
      <c r="J88" t="inlineStr">
        <is>
          <t>Limited use cases for my role</t>
        </is>
      </c>
    </row>
    <row r="89">
      <c r="A89" t="inlineStr">
        <is>
          <t>EMP088</t>
        </is>
      </c>
      <c r="B89" t="inlineStr">
        <is>
          <t>Customer Support</t>
        </is>
      </c>
      <c r="C89" t="inlineStr">
        <is>
          <t>Support Manager</t>
        </is>
      </c>
      <c r="D89" t="inlineStr">
        <is>
          <t>None</t>
        </is>
      </c>
      <c r="E89" t="n">
        <v>5</v>
      </c>
      <c r="F89" t="n">
        <v>5</v>
      </c>
      <c r="G89" t="n">
        <v>5</v>
      </c>
      <c r="H89" t="inlineStr">
        <is>
          <t>Y</t>
        </is>
      </c>
      <c r="I89" t="inlineStr">
        <is>
          <t>Learning new patterns</t>
        </is>
      </c>
      <c r="J89" t="inlineStr">
        <is>
          <t>Limited use cases for my role</t>
        </is>
      </c>
    </row>
    <row r="90">
      <c r="A90" t="inlineStr">
        <is>
          <t>EMP089</t>
        </is>
      </c>
      <c r="B90" t="inlineStr">
        <is>
          <t>Marketing</t>
        </is>
      </c>
      <c r="C90" t="inlineStr">
        <is>
          <t>Social Media Manager</t>
        </is>
      </c>
      <c r="D90" t="inlineStr">
        <is>
          <t>ChatGPT</t>
        </is>
      </c>
      <c r="E90" t="n">
        <v>6</v>
      </c>
      <c r="F90" t="n">
        <v>6</v>
      </c>
      <c r="G90" t="n">
        <v>5</v>
      </c>
      <c r="H90" t="inlineStr">
        <is>
          <t>Y</t>
        </is>
      </c>
      <c r="I90" t="inlineStr">
        <is>
          <t>Learning new patterns</t>
        </is>
      </c>
      <c r="J90" t="inlineStr">
        <is>
          <t>Occasional inaccuracies</t>
        </is>
      </c>
    </row>
    <row r="91">
      <c r="A91" t="inlineStr">
        <is>
          <t>EMP090</t>
        </is>
      </c>
      <c r="B91" t="inlineStr">
        <is>
          <t>Customer Support</t>
        </is>
      </c>
      <c r="C91" t="inlineStr">
        <is>
          <t>Support Manager</t>
        </is>
      </c>
      <c r="D91" t="inlineStr">
        <is>
          <t>None</t>
        </is>
      </c>
      <c r="E91" t="n">
        <v>4</v>
      </c>
      <c r="F91" t="n">
        <v>1</v>
      </c>
      <c r="G91" t="n">
        <v>3</v>
      </c>
      <c r="H91" t="inlineStr">
        <is>
          <t>N</t>
        </is>
      </c>
      <c r="I91" t="inlineStr">
        <is>
          <t>Time savings on routine tasks</t>
        </is>
      </c>
      <c r="J91" t="inlineStr">
        <is>
          <t>Quality control needed</t>
        </is>
      </c>
    </row>
    <row r="92">
      <c r="A92" t="inlineStr">
        <is>
          <t>EMP091</t>
        </is>
      </c>
      <c r="B92" t="inlineStr">
        <is>
          <t>Engineering</t>
        </is>
      </c>
      <c r="C92" t="inlineStr">
        <is>
          <t>Senior Engineer</t>
        </is>
      </c>
      <c r="D92" t="inlineStr">
        <is>
          <t>ChatGPT</t>
        </is>
      </c>
      <c r="E92" t="n">
        <v>8</v>
      </c>
      <c r="F92" t="n">
        <v>13</v>
      </c>
      <c r="G92" t="n">
        <v>7</v>
      </c>
      <c r="H92" t="inlineStr">
        <is>
          <t>Y</t>
        </is>
      </c>
      <c r="I92" t="inlineStr">
        <is>
          <t>Time savings on routine tasks</t>
        </is>
      </c>
      <c r="J92" t="inlineStr">
        <is>
          <t>Learning curve steep</t>
        </is>
      </c>
    </row>
    <row r="93">
      <c r="A93" t="inlineStr">
        <is>
          <t>EMP092</t>
        </is>
      </c>
      <c r="B93" t="inlineStr">
        <is>
          <t>Customer Support</t>
        </is>
      </c>
      <c r="C93" t="inlineStr">
        <is>
          <t>Support Agent</t>
        </is>
      </c>
      <c r="D93" t="inlineStr">
        <is>
          <t>None</t>
        </is>
      </c>
      <c r="E93" t="n">
        <v>5</v>
      </c>
      <c r="F93" t="n">
        <v>0</v>
      </c>
      <c r="G93" t="n">
        <v>2</v>
      </c>
      <c r="H93" t="inlineStr">
        <is>
          <t>Y</t>
        </is>
      </c>
      <c r="I93" t="inlineStr">
        <is>
          <t>Quicker problem solving</t>
        </is>
      </c>
      <c r="J93" t="inlineStr">
        <is>
          <t>Limited use cases for my role</t>
        </is>
      </c>
    </row>
    <row r="94">
      <c r="A94" t="inlineStr">
        <is>
          <t>EMP093</t>
        </is>
      </c>
      <c r="B94" t="inlineStr">
        <is>
          <t>Engineering</t>
        </is>
      </c>
      <c r="C94" t="inlineStr">
        <is>
          <t>Software Engineer</t>
        </is>
      </c>
      <c r="D94" t="inlineStr">
        <is>
          <t>Cursor</t>
        </is>
      </c>
      <c r="E94" t="n">
        <v>10</v>
      </c>
      <c r="F94" t="n">
        <v>15</v>
      </c>
      <c r="G94" t="n">
        <v>8</v>
      </c>
      <c r="H94" t="inlineStr">
        <is>
          <t>Y</t>
        </is>
      </c>
      <c r="I94" t="inlineStr">
        <is>
          <t>Reduced research time</t>
        </is>
      </c>
      <c r="J94" t="inlineStr">
        <is>
          <t>Tool switching overhead</t>
        </is>
      </c>
    </row>
    <row r="95">
      <c r="A95" t="inlineStr">
        <is>
          <t>EMP094</t>
        </is>
      </c>
      <c r="B95" t="inlineStr">
        <is>
          <t>Product</t>
        </is>
      </c>
      <c r="C95" t="inlineStr">
        <is>
          <t>Product Manager</t>
        </is>
      </c>
      <c r="D95" t="inlineStr">
        <is>
          <t>ChatGPT</t>
        </is>
      </c>
      <c r="E95" t="n">
        <v>7</v>
      </c>
      <c r="F95" t="n">
        <v>5</v>
      </c>
      <c r="G95" t="n">
        <v>8</v>
      </c>
      <c r="H95" t="inlineStr">
        <is>
          <t>Y</t>
        </is>
      </c>
      <c r="I95" t="inlineStr">
        <is>
          <t>Enhanced creativity</t>
        </is>
      </c>
      <c r="J95" t="inlineStr">
        <is>
          <t>Limited use cases for my role</t>
        </is>
      </c>
    </row>
    <row r="96">
      <c r="A96" t="inlineStr">
        <is>
          <t>EMP095</t>
        </is>
      </c>
      <c r="B96" t="inlineStr">
        <is>
          <t>Engineering</t>
        </is>
      </c>
      <c r="C96" t="inlineStr">
        <is>
          <t>Engineering Manager</t>
        </is>
      </c>
      <c r="D96" t="inlineStr">
        <is>
          <t>Claude</t>
        </is>
      </c>
      <c r="E96" t="n">
        <v>6</v>
      </c>
      <c r="F96" t="n">
        <v>10</v>
      </c>
      <c r="G96" t="n">
        <v>7</v>
      </c>
      <c r="H96" t="inlineStr">
        <is>
          <t>N</t>
        </is>
      </c>
      <c r="I96" t="inlineStr">
        <is>
          <t>Better documentation</t>
        </is>
      </c>
      <c r="J96" t="inlineStr">
        <is>
          <t>Integration with tools</t>
        </is>
      </c>
    </row>
    <row r="97">
      <c r="A97" t="inlineStr">
        <is>
          <t>EMP096</t>
        </is>
      </c>
      <c r="B97" t="inlineStr">
        <is>
          <t>Engineering</t>
        </is>
      </c>
      <c r="C97" t="inlineStr">
        <is>
          <t>Engineering Manager</t>
        </is>
      </c>
      <c r="D97" t="inlineStr">
        <is>
          <t>ChatGPT</t>
        </is>
      </c>
      <c r="E97" t="n">
        <v>9</v>
      </c>
      <c r="F97" t="n">
        <v>17</v>
      </c>
      <c r="G97" t="n">
        <v>10</v>
      </c>
      <c r="H97" t="inlineStr">
        <is>
          <t>Y</t>
        </is>
      </c>
      <c r="I97" t="inlineStr">
        <is>
          <t>Enhanced creativity</t>
        </is>
      </c>
      <c r="J97" t="inlineStr">
        <is>
          <t>Limited use cases for my role</t>
        </is>
      </c>
    </row>
    <row r="98">
      <c r="A98" t="inlineStr">
        <is>
          <t>EMP097</t>
        </is>
      </c>
      <c r="B98" t="inlineStr">
        <is>
          <t>Operations</t>
        </is>
      </c>
      <c r="C98" t="inlineStr">
        <is>
          <t>Legal Counsel</t>
        </is>
      </c>
      <c r="D98" t="inlineStr">
        <is>
          <t>None</t>
        </is>
      </c>
      <c r="E98" t="n">
        <v>7</v>
      </c>
      <c r="F98" t="n">
        <v>5</v>
      </c>
      <c r="G98" t="n">
        <v>6</v>
      </c>
      <c r="H98" t="inlineStr">
        <is>
          <t>Y</t>
        </is>
      </c>
      <c r="I98" t="inlineStr">
        <is>
          <t>Faster code completion</t>
        </is>
      </c>
      <c r="J98" t="inlineStr">
        <is>
          <t>Occasional inaccuracies</t>
        </is>
      </c>
    </row>
    <row r="99">
      <c r="A99" t="inlineStr">
        <is>
          <t>EMP098</t>
        </is>
      </c>
      <c r="B99" t="inlineStr">
        <is>
          <t>Product</t>
        </is>
      </c>
      <c r="C99" t="inlineStr">
        <is>
          <t>Senior PM</t>
        </is>
      </c>
      <c r="D99" t="inlineStr">
        <is>
          <t>ChatGPT</t>
        </is>
      </c>
      <c r="E99" t="n">
        <v>7</v>
      </c>
      <c r="F99" t="n">
        <v>6</v>
      </c>
      <c r="G99" t="n">
        <v>5</v>
      </c>
      <c r="H99" t="inlineStr">
        <is>
          <t>Y</t>
        </is>
      </c>
      <c r="I99" t="inlineStr">
        <is>
          <t>Quicker problem solving</t>
        </is>
      </c>
      <c r="J99" t="inlineStr">
        <is>
          <t>Occasional inaccuracies</t>
        </is>
      </c>
    </row>
    <row r="100">
      <c r="A100" t="inlineStr">
        <is>
          <t>EMP099</t>
        </is>
      </c>
      <c r="B100" t="inlineStr">
        <is>
          <t>Product</t>
        </is>
      </c>
      <c r="C100" t="inlineStr">
        <is>
          <t>Product Manager</t>
        </is>
      </c>
      <c r="D100" t="inlineStr">
        <is>
          <t>Notion AI</t>
        </is>
      </c>
      <c r="E100" t="n">
        <v>8</v>
      </c>
      <c r="F100" t="n">
        <v>15</v>
      </c>
      <c r="G100" t="n">
        <v>8</v>
      </c>
      <c r="H100" t="inlineStr">
        <is>
          <t>Y</t>
        </is>
      </c>
      <c r="I100" t="inlineStr">
        <is>
          <t>Reduced research time</t>
        </is>
      </c>
      <c r="J100" t="inlineStr">
        <is>
          <t>Quality control needed</t>
        </is>
      </c>
    </row>
    <row r="101">
      <c r="A101" t="inlineStr">
        <is>
          <t>EMP100</t>
        </is>
      </c>
      <c r="B101" t="inlineStr">
        <is>
          <t>Engineering</t>
        </is>
      </c>
      <c r="C101" t="inlineStr">
        <is>
          <t>Senior Engineer</t>
        </is>
      </c>
      <c r="D101" t="inlineStr">
        <is>
          <t>Cursor</t>
        </is>
      </c>
      <c r="E101" t="n">
        <v>8</v>
      </c>
      <c r="F101" t="n">
        <v>19</v>
      </c>
      <c r="G101" t="n">
        <v>8</v>
      </c>
      <c r="H101" t="inlineStr">
        <is>
          <t>Y</t>
        </is>
      </c>
      <c r="I101" t="inlineStr">
        <is>
          <t>Better documentation</t>
        </is>
      </c>
      <c r="J101" t="inlineStr">
        <is>
          <t>Integration with tools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9" customWidth="1" min="4" max="4"/>
    <col width="19" customWidth="1" min="5" max="5"/>
    <col width="19" customWidth="1" min="6" max="6"/>
    <col width="8" customWidth="1" min="7" max="7"/>
    <col width="18" customWidth="1" min="8" max="8"/>
  </cols>
  <sheetData>
    <row r="1">
      <c r="A1" s="1" t="inlineStr">
        <is>
          <t>Tool Name</t>
        </is>
      </c>
      <c r="B1" s="1" t="inlineStr">
        <is>
          <t>Feature</t>
        </is>
      </c>
      <c r="C1" s="1" t="inlineStr">
        <is>
          <t>Department</t>
        </is>
      </c>
      <c r="D1" s="1" t="inlineStr">
        <is>
          <t>Usage Count (Oct)</t>
        </is>
      </c>
      <c r="E1" s="1" t="inlineStr">
        <is>
          <t>Usage Count (Nov)</t>
        </is>
      </c>
      <c r="F1" s="1" t="inlineStr">
        <is>
          <t>Usage Count (Dec)</t>
        </is>
      </c>
      <c r="G1" s="1" t="inlineStr">
        <is>
          <t>Trend</t>
        </is>
      </c>
      <c r="H1" s="1" t="inlineStr">
        <is>
          <t>Success Rate (%)</t>
        </is>
      </c>
    </row>
    <row r="2">
      <c r="A2" t="inlineStr">
        <is>
          <t>GitHub Copilot</t>
        </is>
      </c>
      <c r="B2" t="inlineStr">
        <is>
          <t>Code Completion</t>
        </is>
      </c>
      <c r="C2" t="inlineStr">
        <is>
          <t>Engineering</t>
        </is>
      </c>
      <c r="D2" t="n">
        <v>3200</v>
      </c>
      <c r="E2" t="n">
        <v>3650</v>
      </c>
      <c r="F2" t="n">
        <v>4250</v>
      </c>
      <c r="G2" t="inlineStr">
        <is>
          <t>Up</t>
        </is>
      </c>
      <c r="H2" t="n">
        <v>87</v>
      </c>
    </row>
    <row r="3">
      <c r="A3" t="inlineStr">
        <is>
          <t>GitHub Copilot</t>
        </is>
      </c>
      <c r="B3" t="inlineStr">
        <is>
          <t>Code Review</t>
        </is>
      </c>
      <c r="C3" t="inlineStr">
        <is>
          <t>Engineering</t>
        </is>
      </c>
      <c r="D3" t="n">
        <v>1850</v>
      </c>
      <c r="E3" t="n">
        <v>2100</v>
      </c>
      <c r="F3" t="n">
        <v>2380</v>
      </c>
      <c r="G3" t="inlineStr">
        <is>
          <t>Up</t>
        </is>
      </c>
      <c r="H3" t="n">
        <v>82</v>
      </c>
    </row>
    <row r="4">
      <c r="A4" t="inlineStr">
        <is>
          <t>GitHub Copilot</t>
        </is>
      </c>
      <c r="B4" t="inlineStr">
        <is>
          <t>Documentation</t>
        </is>
      </c>
      <c r="C4" t="inlineStr">
        <is>
          <t>Engineering</t>
        </is>
      </c>
      <c r="D4" t="n">
        <v>980</v>
      </c>
      <c r="E4" t="n">
        <v>1120</v>
      </c>
      <c r="F4" t="n">
        <v>1285</v>
      </c>
      <c r="G4" t="inlineStr">
        <is>
          <t>Up</t>
        </is>
      </c>
      <c r="H4" t="n">
        <v>78</v>
      </c>
    </row>
    <row r="5">
      <c r="A5" t="inlineStr">
        <is>
          <t>GitHub Copilot</t>
        </is>
      </c>
      <c r="B5" t="inlineStr">
        <is>
          <t>Test Generation</t>
        </is>
      </c>
      <c r="C5" t="inlineStr">
        <is>
          <t>Engineering</t>
        </is>
      </c>
      <c r="D5" t="n">
        <v>620</v>
      </c>
      <c r="E5" t="n">
        <v>715</v>
      </c>
      <c r="F5" t="n">
        <v>825</v>
      </c>
      <c r="G5" t="inlineStr">
        <is>
          <t>Up</t>
        </is>
      </c>
      <c r="H5" t="n">
        <v>73</v>
      </c>
    </row>
    <row r="6">
      <c r="A6" t="inlineStr">
        <is>
          <t>ChatGPT</t>
        </is>
      </c>
      <c r="B6" t="inlineStr">
        <is>
          <t>Code Assistance</t>
        </is>
      </c>
      <c r="C6" t="inlineStr">
        <is>
          <t>Engineering</t>
        </is>
      </c>
      <c r="D6" t="n">
        <v>1450</v>
      </c>
      <c r="E6" t="n">
        <v>1680</v>
      </c>
      <c r="F6" t="n">
        <v>1920</v>
      </c>
      <c r="G6" t="inlineStr">
        <is>
          <t>Up</t>
        </is>
      </c>
      <c r="H6" t="n">
        <v>79</v>
      </c>
    </row>
    <row r="7">
      <c r="A7" t="inlineStr">
        <is>
          <t>ChatGPT</t>
        </is>
      </c>
      <c r="B7" t="inlineStr">
        <is>
          <t>Problem Solving</t>
        </is>
      </c>
      <c r="C7" t="inlineStr">
        <is>
          <t>Engineering</t>
        </is>
      </c>
      <c r="D7" t="n">
        <v>2100</v>
      </c>
      <c r="E7" t="n">
        <v>2350</v>
      </c>
      <c r="F7" t="n">
        <v>2580</v>
      </c>
      <c r="G7" t="inlineStr">
        <is>
          <t>Up</t>
        </is>
      </c>
      <c r="H7" t="n">
        <v>84</v>
      </c>
    </row>
    <row r="8">
      <c r="A8" t="inlineStr">
        <is>
          <t>ChatGPT</t>
        </is>
      </c>
      <c r="B8" t="inlineStr">
        <is>
          <t>Documentation</t>
        </is>
      </c>
      <c r="C8" t="inlineStr">
        <is>
          <t>Product</t>
        </is>
      </c>
      <c r="D8" t="n">
        <v>520</v>
      </c>
      <c r="E8" t="n">
        <v>615</v>
      </c>
      <c r="F8" t="n">
        <v>695</v>
      </c>
      <c r="G8" t="inlineStr">
        <is>
          <t>Up</t>
        </is>
      </c>
      <c r="H8" t="n">
        <v>76</v>
      </c>
    </row>
    <row r="9">
      <c r="A9" t="inlineStr">
        <is>
          <t>ChatGPT</t>
        </is>
      </c>
      <c r="B9" t="inlineStr">
        <is>
          <t>Meeting Summaries</t>
        </is>
      </c>
      <c r="C9" t="inlineStr">
        <is>
          <t>Product</t>
        </is>
      </c>
      <c r="D9" t="n">
        <v>385</v>
      </c>
      <c r="E9" t="n">
        <v>445</v>
      </c>
      <c r="F9" t="n">
        <v>498</v>
      </c>
      <c r="G9" t="inlineStr">
        <is>
          <t>Up</t>
        </is>
      </c>
      <c r="H9" t="n">
        <v>88</v>
      </c>
    </row>
    <row r="10">
      <c r="A10" t="inlineStr">
        <is>
          <t>ChatGPT</t>
        </is>
      </c>
      <c r="B10" t="inlineStr">
        <is>
          <t>Content Drafting</t>
        </is>
      </c>
      <c r="C10" t="inlineStr">
        <is>
          <t>Marketing</t>
        </is>
      </c>
      <c r="D10" t="n">
        <v>720</v>
      </c>
      <c r="E10" t="n">
        <v>815</v>
      </c>
      <c r="F10" t="n">
        <v>895</v>
      </c>
      <c r="G10" t="inlineStr">
        <is>
          <t>Up</t>
        </is>
      </c>
      <c r="H10" t="n">
        <v>81</v>
      </c>
    </row>
    <row r="11">
      <c r="A11" t="inlineStr">
        <is>
          <t>ChatGPT</t>
        </is>
      </c>
      <c r="B11" t="inlineStr">
        <is>
          <t>Research</t>
        </is>
      </c>
      <c r="C11" t="inlineStr">
        <is>
          <t>Operations</t>
        </is>
      </c>
      <c r="D11" t="n">
        <v>280</v>
      </c>
      <c r="E11" t="n">
        <v>310</v>
      </c>
      <c r="F11" t="n">
        <v>335</v>
      </c>
      <c r="G11" t="inlineStr">
        <is>
          <t>Up</t>
        </is>
      </c>
      <c r="H11" t="n">
        <v>72</v>
      </c>
    </row>
    <row r="12">
      <c r="A12" t="inlineStr">
        <is>
          <t>ChatGPT</t>
        </is>
      </c>
      <c r="B12" t="inlineStr">
        <is>
          <t>Customer Query</t>
        </is>
      </c>
      <c r="C12" t="inlineStr">
        <is>
          <t>Customer Support</t>
        </is>
      </c>
      <c r="D12" t="n">
        <v>190</v>
      </c>
      <c r="E12" t="n">
        <v>215</v>
      </c>
      <c r="F12" t="n">
        <v>238</v>
      </c>
      <c r="G12" t="inlineStr">
        <is>
          <t>Up</t>
        </is>
      </c>
      <c r="H12" t="n">
        <v>68</v>
      </c>
    </row>
    <row r="13">
      <c r="A13" t="inlineStr">
        <is>
          <t>Claude</t>
        </is>
      </c>
      <c r="B13" t="inlineStr">
        <is>
          <t>Code Review</t>
        </is>
      </c>
      <c r="C13" t="inlineStr">
        <is>
          <t>Engineering</t>
        </is>
      </c>
      <c r="D13" t="n">
        <v>580</v>
      </c>
      <c r="E13" t="n">
        <v>685</v>
      </c>
      <c r="F13" t="n">
        <v>778</v>
      </c>
      <c r="G13" t="inlineStr">
        <is>
          <t>Up</t>
        </is>
      </c>
      <c r="H13" t="n">
        <v>86</v>
      </c>
    </row>
    <row r="14">
      <c r="A14" t="inlineStr">
        <is>
          <t>Claude</t>
        </is>
      </c>
      <c r="B14" t="inlineStr">
        <is>
          <t>Documentation</t>
        </is>
      </c>
      <c r="C14" t="inlineStr">
        <is>
          <t>Engineering</t>
        </is>
      </c>
      <c r="D14" t="n">
        <v>420</v>
      </c>
      <c r="E14" t="n">
        <v>498</v>
      </c>
      <c r="F14" t="n">
        <v>562</v>
      </c>
      <c r="G14" t="inlineStr">
        <is>
          <t>Up</t>
        </is>
      </c>
      <c r="H14" t="n">
        <v>83</v>
      </c>
    </row>
    <row r="15">
      <c r="A15" t="inlineStr">
        <is>
          <t>Claude</t>
        </is>
      </c>
      <c r="B15" t="inlineStr">
        <is>
          <t>PRD Writing</t>
        </is>
      </c>
      <c r="C15" t="inlineStr">
        <is>
          <t>Product</t>
        </is>
      </c>
      <c r="D15" t="n">
        <v>215</v>
      </c>
      <c r="E15" t="n">
        <v>258</v>
      </c>
      <c r="F15" t="n">
        <v>295</v>
      </c>
      <c r="G15" t="inlineStr">
        <is>
          <t>Up</t>
        </is>
      </c>
      <c r="H15" t="n">
        <v>85</v>
      </c>
    </row>
    <row r="16">
      <c r="A16" t="inlineStr">
        <is>
          <t>Claude</t>
        </is>
      </c>
      <c r="B16" t="inlineStr">
        <is>
          <t>Analysis</t>
        </is>
      </c>
      <c r="C16" t="inlineStr">
        <is>
          <t>Product</t>
        </is>
      </c>
      <c r="D16" t="n">
        <v>165</v>
      </c>
      <c r="E16" t="n">
        <v>192</v>
      </c>
      <c r="F16" t="n">
        <v>218</v>
      </c>
      <c r="G16" t="inlineStr">
        <is>
          <t>Up</t>
        </is>
      </c>
      <c r="H16" t="n">
        <v>79</v>
      </c>
    </row>
    <row r="17">
      <c r="A17" t="inlineStr">
        <is>
          <t>Claude</t>
        </is>
      </c>
      <c r="B17" t="inlineStr">
        <is>
          <t>Legal Review</t>
        </is>
      </c>
      <c r="C17" t="inlineStr">
        <is>
          <t>Operations</t>
        </is>
      </c>
      <c r="D17" t="n">
        <v>48</v>
      </c>
      <c r="E17" t="n">
        <v>52</v>
      </c>
      <c r="F17" t="n">
        <v>58</v>
      </c>
      <c r="G17" t="inlineStr">
        <is>
          <t>Stable</t>
        </is>
      </c>
      <c r="H17" t="n">
        <v>74</v>
      </c>
    </row>
    <row r="18">
      <c r="A18" t="inlineStr">
        <is>
          <t>Jasper</t>
        </is>
      </c>
      <c r="B18" t="inlineStr">
        <is>
          <t>Blog Posts</t>
        </is>
      </c>
      <c r="C18" t="inlineStr">
        <is>
          <t>Marketing</t>
        </is>
      </c>
      <c r="D18" t="n">
        <v>285</v>
      </c>
      <c r="E18" t="n">
        <v>342</v>
      </c>
      <c r="F18" t="n">
        <v>398</v>
      </c>
      <c r="G18" t="inlineStr">
        <is>
          <t>Up</t>
        </is>
      </c>
      <c r="H18" t="n">
        <v>77</v>
      </c>
    </row>
    <row r="19">
      <c r="A19" t="inlineStr">
        <is>
          <t>Jasper</t>
        </is>
      </c>
      <c r="B19" t="inlineStr">
        <is>
          <t>Social Media</t>
        </is>
      </c>
      <c r="C19" t="inlineStr">
        <is>
          <t>Marketing</t>
        </is>
      </c>
      <c r="D19" t="n">
        <v>520</v>
      </c>
      <c r="E19" t="n">
        <v>595</v>
      </c>
      <c r="F19" t="n">
        <v>658</v>
      </c>
      <c r="G19" t="inlineStr">
        <is>
          <t>Up</t>
        </is>
      </c>
      <c r="H19" t="n">
        <v>73</v>
      </c>
    </row>
    <row r="20">
      <c r="A20" t="inlineStr">
        <is>
          <t>Jasper</t>
        </is>
      </c>
      <c r="B20" t="inlineStr">
        <is>
          <t>Email Campaigns</t>
        </is>
      </c>
      <c r="C20" t="inlineStr">
        <is>
          <t>Marketing</t>
        </is>
      </c>
      <c r="D20" t="n">
        <v>180</v>
      </c>
      <c r="E20" t="n">
        <v>205</v>
      </c>
      <c r="F20" t="n">
        <v>228</v>
      </c>
      <c r="G20" t="inlineStr">
        <is>
          <t>Up</t>
        </is>
      </c>
      <c r="H20" t="n">
        <v>71</v>
      </c>
    </row>
    <row r="21">
      <c r="A21" t="inlineStr">
        <is>
          <t>Copy.ai</t>
        </is>
      </c>
      <c r="B21" t="inlineStr">
        <is>
          <t>Ad Copy</t>
        </is>
      </c>
      <c r="C21" t="inlineStr">
        <is>
          <t>Marketing</t>
        </is>
      </c>
      <c r="D21" t="n">
        <v>320</v>
      </c>
      <c r="E21" t="n">
        <v>358</v>
      </c>
      <c r="F21" t="n">
        <v>385</v>
      </c>
      <c r="G21" t="inlineStr">
        <is>
          <t>Up</t>
        </is>
      </c>
      <c r="H21" t="n">
        <v>75</v>
      </c>
    </row>
    <row r="22">
      <c r="A22" t="inlineStr">
        <is>
          <t>Copy.ai</t>
        </is>
      </c>
      <c r="B22" t="inlineStr">
        <is>
          <t>Landing Pages</t>
        </is>
      </c>
      <c r="C22" t="inlineStr">
        <is>
          <t>Marketing</t>
        </is>
      </c>
      <c r="D22" t="n">
        <v>85</v>
      </c>
      <c r="E22" t="n">
        <v>92</v>
      </c>
      <c r="F22" t="n">
        <v>98</v>
      </c>
      <c r="G22" t="inlineStr">
        <is>
          <t>Stable</t>
        </is>
      </c>
      <c r="H22" t="n">
        <v>69</v>
      </c>
    </row>
    <row r="23">
      <c r="A23" t="inlineStr">
        <is>
          <t>Midjourney</t>
        </is>
      </c>
      <c r="B23" t="inlineStr">
        <is>
          <t>Blog Images</t>
        </is>
      </c>
      <c r="C23" t="inlineStr">
        <is>
          <t>Marketing</t>
        </is>
      </c>
      <c r="D23" t="n">
        <v>125</v>
      </c>
      <c r="E23" t="n">
        <v>245</v>
      </c>
      <c r="F23" t="n">
        <v>158</v>
      </c>
      <c r="G23" t="inlineStr">
        <is>
          <t>Down</t>
        </is>
      </c>
      <c r="H23" t="n">
        <v>82</v>
      </c>
    </row>
    <row r="24">
      <c r="A24" t="inlineStr">
        <is>
          <t>Midjourney</t>
        </is>
      </c>
      <c r="B24" t="inlineStr">
        <is>
          <t>Social Graphics</t>
        </is>
      </c>
      <c r="C24" t="inlineStr">
        <is>
          <t>Marketing</t>
        </is>
      </c>
      <c r="D24" t="n">
        <v>210</v>
      </c>
      <c r="E24" t="n">
        <v>385</v>
      </c>
      <c r="F24" t="n">
        <v>268</v>
      </c>
      <c r="G24" t="inlineStr">
        <is>
          <t>Down</t>
        </is>
      </c>
      <c r="H24" t="n">
        <v>79</v>
      </c>
    </row>
    <row r="25">
      <c r="A25" t="inlineStr">
        <is>
          <t>Midjourney</t>
        </is>
      </c>
      <c r="B25" t="inlineStr">
        <is>
          <t>Ad Creatives</t>
        </is>
      </c>
      <c r="C25" t="inlineStr">
        <is>
          <t>Marketing</t>
        </is>
      </c>
      <c r="D25" t="n">
        <v>95</v>
      </c>
      <c r="E25" t="n">
        <v>178</v>
      </c>
      <c r="F25" t="n">
        <v>122</v>
      </c>
      <c r="G25" t="inlineStr">
        <is>
          <t>Down</t>
        </is>
      </c>
      <c r="H25" t="n">
        <v>76</v>
      </c>
    </row>
    <row r="26">
      <c r="A26" t="inlineStr">
        <is>
          <t>Cursor</t>
        </is>
      </c>
      <c r="B26" t="inlineStr">
        <is>
          <t>Code Completion</t>
        </is>
      </c>
      <c r="C26" t="inlineStr">
        <is>
          <t>Engineering</t>
        </is>
      </c>
      <c r="D26" t="n">
        <v>580</v>
      </c>
      <c r="E26" t="n">
        <v>625</v>
      </c>
      <c r="F26" t="n">
        <v>685</v>
      </c>
      <c r="G26" t="inlineStr">
        <is>
          <t>Up</t>
        </is>
      </c>
      <c r="H26" t="n">
        <v>84</v>
      </c>
    </row>
    <row r="27">
      <c r="A27" t="inlineStr">
        <is>
          <t>Cursor</t>
        </is>
      </c>
      <c r="B27" t="inlineStr">
        <is>
          <t>Refactoring</t>
        </is>
      </c>
      <c r="C27" t="inlineStr">
        <is>
          <t>Engineering</t>
        </is>
      </c>
      <c r="D27" t="n">
        <v>320</v>
      </c>
      <c r="E27" t="n">
        <v>365</v>
      </c>
      <c r="F27" t="n">
        <v>398</v>
      </c>
      <c r="G27" t="inlineStr">
        <is>
          <t>Up</t>
        </is>
      </c>
      <c r="H27" t="n">
        <v>80</v>
      </c>
    </row>
    <row r="28">
      <c r="A28" t="inlineStr">
        <is>
          <t>Notion AI</t>
        </is>
      </c>
      <c r="B28" t="inlineStr">
        <is>
          <t>Note Summarization</t>
        </is>
      </c>
      <c r="C28" t="inlineStr">
        <is>
          <t>Product</t>
        </is>
      </c>
      <c r="D28" t="n">
        <v>195</v>
      </c>
      <c r="E28" t="n">
        <v>225</v>
      </c>
      <c r="F28" t="n">
        <v>248</v>
      </c>
      <c r="G28" t="inlineStr">
        <is>
          <t>Up</t>
        </is>
      </c>
      <c r="H28" t="n">
        <v>81</v>
      </c>
    </row>
    <row r="29">
      <c r="A29" t="inlineStr">
        <is>
          <t>Notion AI</t>
        </is>
      </c>
      <c r="B29" t="inlineStr">
        <is>
          <t>Task Generation</t>
        </is>
      </c>
      <c r="C29" t="inlineStr">
        <is>
          <t>Product</t>
        </is>
      </c>
      <c r="D29" t="n">
        <v>142</v>
      </c>
      <c r="E29" t="n">
        <v>168</v>
      </c>
      <c r="F29" t="n">
        <v>185</v>
      </c>
      <c r="G29" t="inlineStr">
        <is>
          <t>Up</t>
        </is>
      </c>
      <c r="H29" t="n">
        <v>76</v>
      </c>
    </row>
    <row r="30">
      <c r="A30" t="inlineStr">
        <is>
          <t>GitHub Copilot</t>
        </is>
      </c>
      <c r="B30" t="inlineStr">
        <is>
          <t>Chat Feature</t>
        </is>
      </c>
      <c r="C30" t="inlineStr">
        <is>
          <t>Engineering</t>
        </is>
      </c>
      <c r="D30" t="n">
        <v>425</v>
      </c>
      <c r="E30" t="n">
        <v>398</v>
      </c>
      <c r="F30" t="n">
        <v>365</v>
      </c>
      <c r="G30" t="inlineStr">
        <is>
          <t>Down</t>
        </is>
      </c>
      <c r="H30" t="n">
        <v>62</v>
      </c>
    </row>
    <row r="31">
      <c r="A31" t="inlineStr">
        <is>
          <t>ChatGPT</t>
        </is>
      </c>
      <c r="B31" t="inlineStr">
        <is>
          <t>Image Generation</t>
        </is>
      </c>
      <c r="C31" t="inlineStr">
        <is>
          <t>Marketing</t>
        </is>
      </c>
      <c r="D31" t="n">
        <v>185</v>
      </c>
      <c r="E31" t="n">
        <v>162</v>
      </c>
      <c r="F31" t="n">
        <v>148</v>
      </c>
      <c r="G31" t="inlineStr">
        <is>
          <t>Down</t>
        </is>
      </c>
      <c r="H31" t="n">
        <v>58</v>
      </c>
    </row>
    <row r="32">
      <c r="A32" t="inlineStr">
        <is>
          <t>Claude</t>
        </is>
      </c>
      <c r="B32" t="inlineStr">
        <is>
          <t>Chat</t>
        </is>
      </c>
      <c r="C32" t="inlineStr">
        <is>
          <t>Engineering</t>
        </is>
      </c>
      <c r="D32" t="n">
        <v>485</v>
      </c>
      <c r="E32" t="n">
        <v>492</v>
      </c>
      <c r="F32" t="n">
        <v>498</v>
      </c>
      <c r="G32" t="inlineStr">
        <is>
          <t>Stable</t>
        </is>
      </c>
      <c r="H32" t="n">
        <v>85</v>
      </c>
    </row>
    <row r="33">
      <c r="A33" t="inlineStr">
        <is>
          <t>ChatGPT</t>
        </is>
      </c>
      <c r="B33" t="inlineStr">
        <is>
          <t>Translation</t>
        </is>
      </c>
      <c r="C33" t="inlineStr">
        <is>
          <t>Operations</t>
        </is>
      </c>
      <c r="D33" t="n">
        <v>95</v>
      </c>
      <c r="E33" t="n">
        <v>98</v>
      </c>
      <c r="F33" t="n">
        <v>96</v>
      </c>
      <c r="G33" t="inlineStr">
        <is>
          <t>Stable</t>
        </is>
      </c>
      <c r="H33" t="n">
        <v>88</v>
      </c>
    </row>
    <row r="34">
      <c r="A34" t="inlineStr">
        <is>
          <t>GitHub Copilot</t>
        </is>
      </c>
      <c r="B34" t="inlineStr">
        <is>
          <t>Inline Chat</t>
        </is>
      </c>
      <c r="C34" t="inlineStr">
        <is>
          <t>Engineering</t>
        </is>
      </c>
      <c r="D34" t="n">
        <v>720</v>
      </c>
      <c r="E34" t="n">
        <v>735</v>
      </c>
      <c r="F34" t="n">
        <v>728</v>
      </c>
      <c r="G34" t="inlineStr">
        <is>
          <t>Stable</t>
        </is>
      </c>
      <c r="H34" t="n">
        <v>79</v>
      </c>
    </row>
    <row r="35">
      <c r="A35" t="inlineStr">
        <is>
          <t>ChatGPT</t>
        </is>
      </c>
      <c r="B35" t="inlineStr">
        <is>
          <t>Code Generation</t>
        </is>
      </c>
      <c r="C35" t="inlineStr">
        <is>
          <t>Product</t>
        </is>
      </c>
      <c r="D35" t="n">
        <v>125</v>
      </c>
      <c r="E35" t="n">
        <v>115</v>
      </c>
      <c r="F35" t="n">
        <v>108</v>
      </c>
      <c r="G35" t="inlineStr">
        <is>
          <t>Down</t>
        </is>
      </c>
      <c r="H35" t="n">
        <v>54</v>
      </c>
    </row>
    <row r="36">
      <c r="A36" t="inlineStr">
        <is>
          <t>Copy.ai</t>
        </is>
      </c>
      <c r="B36" t="inlineStr">
        <is>
          <t>Long Form Content</t>
        </is>
      </c>
      <c r="C36" t="inlineStr">
        <is>
          <t>Marketing</t>
        </is>
      </c>
      <c r="D36" t="n">
        <v>65</v>
      </c>
      <c r="E36" t="n">
        <v>58</v>
      </c>
      <c r="F36" t="n">
        <v>52</v>
      </c>
      <c r="G36" t="inlineStr">
        <is>
          <t>Down</t>
        </is>
      </c>
      <c r="H36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  <col width="11" customWidth="1" min="4" max="4"/>
    <col width="19" customWidth="1" min="5" max="5"/>
    <col width="25" customWidth="1" min="6" max="6"/>
    <col width="20" customWidth="1" min="7" max="7"/>
    <col width="20" customWidth="1" min="8" max="8"/>
    <col width="25" customWidth="1" min="9" max="9"/>
  </cols>
  <sheetData>
    <row r="1">
      <c r="A1" s="1" t="inlineStr">
        <is>
          <t>Metric Name</t>
        </is>
      </c>
      <c r="B1" s="1" t="inlineStr">
        <is>
          <t>Oct Value</t>
        </is>
      </c>
      <c r="C1" s="1" t="inlineStr">
        <is>
          <t>Nov Value</t>
        </is>
      </c>
      <c r="D1" s="1" t="inlineStr">
        <is>
          <t>Dec Value</t>
        </is>
      </c>
      <c r="E1" s="1" t="inlineStr">
        <is>
          <t>Avg Value</t>
        </is>
      </c>
      <c r="F1" s="1" t="inlineStr">
        <is>
          <t>Trend Direction</t>
        </is>
      </c>
      <c r="G1" s="1" t="inlineStr">
        <is>
          <t>% Change Oct-Dec</t>
        </is>
      </c>
      <c r="H1" s="1" t="inlineStr">
        <is>
          <t>Target for Q1 2026</t>
        </is>
      </c>
      <c r="I1" s="1" t="inlineStr">
        <is>
          <t>Status</t>
        </is>
      </c>
    </row>
    <row r="2">
      <c r="A2" t="inlineStr">
        <is>
          <t>Overall Adoption Rate (%)</t>
        </is>
      </c>
      <c r="B2" t="n">
        <v>58</v>
      </c>
      <c r="C2" t="n">
        <v>64</v>
      </c>
      <c r="D2" t="n">
        <v>68</v>
      </c>
      <c r="E2">
        <f>AVERAGE(B2:D2)</f>
        <v/>
      </c>
      <c r="F2">
        <f>IF(D2&gt;B2,"Up","Down")</f>
        <v/>
      </c>
      <c r="G2">
        <f>(D2-B2)/B2*100</f>
        <v/>
      </c>
      <c r="H2" t="n">
        <v>75</v>
      </c>
      <c r="I2">
        <f>IF(D2&gt;=H2,"On Track","Behind")</f>
        <v/>
      </c>
    </row>
    <row r="3">
      <c r="A3" t="inlineStr">
        <is>
          <t>Engineering Adoption (%)</t>
        </is>
      </c>
      <c r="B3" t="n">
        <v>82</v>
      </c>
      <c r="C3" t="n">
        <v>85</v>
      </c>
      <c r="D3" t="n">
        <v>87</v>
      </c>
      <c r="E3">
        <f>AVERAGE(B3:D3)</f>
        <v/>
      </c>
      <c r="F3">
        <f>IF(D3&gt;B3,"Up","Down")</f>
        <v/>
      </c>
      <c r="G3">
        <f>(D3-B3)/B3*100</f>
        <v/>
      </c>
      <c r="H3" t="n">
        <v>90</v>
      </c>
      <c r="I3">
        <f>IF(D3&gt;=H3,"On Track","Behind")</f>
        <v/>
      </c>
    </row>
    <row r="4">
      <c r="A4" t="inlineStr">
        <is>
          <t>Product Adoption (%)</t>
        </is>
      </c>
      <c r="B4" t="n">
        <v>55</v>
      </c>
      <c r="C4" t="n">
        <v>59</v>
      </c>
      <c r="D4" t="n">
        <v>62</v>
      </c>
      <c r="E4">
        <f>AVERAGE(B4:D4)</f>
        <v/>
      </c>
      <c r="F4">
        <f>IF(D4&gt;B4,"Up","Down")</f>
        <v/>
      </c>
      <c r="G4">
        <f>(D4-B4)/B4*100</f>
        <v/>
      </c>
      <c r="H4" t="n">
        <v>70</v>
      </c>
      <c r="I4">
        <f>IF(D4&gt;=H4,"On Track","Behind")</f>
        <v/>
      </c>
    </row>
    <row r="5">
      <c r="A5" t="inlineStr">
        <is>
          <t>Marketing Adoption (%)</t>
        </is>
      </c>
      <c r="B5" t="n">
        <v>42</v>
      </c>
      <c r="C5" t="n">
        <v>48</v>
      </c>
      <c r="D5" t="n">
        <v>51</v>
      </c>
      <c r="E5">
        <f>AVERAGE(B5:D5)</f>
        <v/>
      </c>
      <c r="F5">
        <f>IF(D5&gt;B5,"Up","Down")</f>
        <v/>
      </c>
      <c r="G5">
        <f>(D5-B5)/B5*100</f>
        <v/>
      </c>
      <c r="H5" t="n">
        <v>60</v>
      </c>
      <c r="I5">
        <f>IF(D5&gt;=H5,"On Track","Behind")</f>
        <v/>
      </c>
    </row>
    <row r="6">
      <c r="A6" t="inlineStr">
        <is>
          <t>Operations Adoption (%)</t>
        </is>
      </c>
      <c r="B6" t="n">
        <v>28</v>
      </c>
      <c r="C6" t="n">
        <v>32</v>
      </c>
      <c r="D6" t="n">
        <v>34</v>
      </c>
      <c r="E6">
        <f>AVERAGE(B6:D6)</f>
        <v/>
      </c>
      <c r="F6">
        <f>IF(D6&gt;B6,"Up","Down")</f>
        <v/>
      </c>
      <c r="G6">
        <f>(D6-B6)/B6*100</f>
        <v/>
      </c>
      <c r="H6" t="n">
        <v>45</v>
      </c>
      <c r="I6">
        <f>IF(D6&gt;=H6,"On Track","Behind")</f>
        <v/>
      </c>
    </row>
    <row r="7">
      <c r="A7" t="inlineStr">
        <is>
          <t>Support Adoption (%)</t>
        </is>
      </c>
      <c r="B7" t="n">
        <v>15</v>
      </c>
      <c r="C7" t="n">
        <v>17</v>
      </c>
      <c r="D7" t="n">
        <v>19</v>
      </c>
      <c r="E7">
        <f>AVERAGE(B7:D7)</f>
        <v/>
      </c>
      <c r="F7">
        <f>IF(D7&gt;B7,"Up","Down")</f>
        <v/>
      </c>
      <c r="G7">
        <f>(D7-B7)/B7*100</f>
        <v/>
      </c>
      <c r="H7" t="n">
        <v>35</v>
      </c>
      <c r="I7">
        <f>IF(D7&gt;=H7,"On Track","Behind")</f>
        <v/>
      </c>
    </row>
    <row r="8">
      <c r="A8" t="inlineStr">
        <is>
          <t>Avg Productivity Gain (%)</t>
        </is>
      </c>
      <c r="B8" t="n">
        <v>28</v>
      </c>
      <c r="C8" t="n">
        <v>31</v>
      </c>
      <c r="D8" t="n">
        <v>35</v>
      </c>
      <c r="E8">
        <f>AVERAGE(B8:D8)</f>
        <v/>
      </c>
      <c r="F8">
        <f>IF(D8&gt;B8,"Up","Down")</f>
        <v/>
      </c>
      <c r="G8">
        <f>(D8-B8)/B8*100</f>
        <v/>
      </c>
      <c r="H8" t="n">
        <v>40</v>
      </c>
      <c r="I8">
        <f>IF(D8&gt;=H8,"On Track","Ahead")</f>
        <v/>
      </c>
    </row>
    <row r="9">
      <c r="A9" t="inlineStr">
        <is>
          <t>Total Monthly Cost (€K)</t>
        </is>
      </c>
      <c r="B9" t="n">
        <v>112</v>
      </c>
      <c r="C9" t="n">
        <v>118</v>
      </c>
      <c r="D9" t="n">
        <v>125</v>
      </c>
      <c r="E9">
        <f>AVERAGE(B9:D9)</f>
        <v/>
      </c>
      <c r="F9">
        <f>IF(D9&gt;B9,"Up","Down")</f>
        <v/>
      </c>
      <c r="G9">
        <f>(D9-B9)/B9*100</f>
        <v/>
      </c>
      <c r="H9" t="n">
        <v>130</v>
      </c>
      <c r="I9">
        <f>IF(D9&lt;=H9,"On Track","Behind")</f>
        <v/>
      </c>
    </row>
    <row r="10">
      <c r="A10" t="inlineStr">
        <is>
          <t>Total Monthly Savings (€K)</t>
        </is>
      </c>
      <c r="B10" t="n">
        <v>720</v>
      </c>
      <c r="C10" t="n">
        <v>785</v>
      </c>
      <c r="D10" t="n">
        <v>850</v>
      </c>
      <c r="E10">
        <f>AVERAGE(B10:D10)</f>
        <v/>
      </c>
      <c r="F10">
        <f>IF(D10&gt;B10,"Up","Down")</f>
        <v/>
      </c>
      <c r="G10">
        <f>(D10-B10)/B10*100</f>
        <v/>
      </c>
      <c r="H10" t="n">
        <v>900</v>
      </c>
      <c r="I10">
        <f>IF(D10&gt;=H10,"On Track","Ahead")</f>
        <v/>
      </c>
    </row>
    <row r="11">
      <c r="A11" t="inlineStr">
        <is>
          <t>Net Benefit (€K)</t>
        </is>
      </c>
      <c r="B11" t="n">
        <v>608</v>
      </c>
      <c r="C11" t="n">
        <v>667</v>
      </c>
      <c r="D11" t="n">
        <v>725</v>
      </c>
      <c r="E11">
        <f>AVERAGE(B11:D11)</f>
        <v/>
      </c>
      <c r="F11">
        <f>IF(D11&gt;B11,"Up","Down")</f>
        <v/>
      </c>
      <c r="G11">
        <f>(D11-B11)/B11*100</f>
        <v/>
      </c>
      <c r="H11" t="n">
        <v>770</v>
      </c>
      <c r="I11">
        <f>IF(D11&gt;=H11,"On Track","Ahead")</f>
        <v/>
      </c>
    </row>
    <row r="12">
      <c r="A12" t="inlineStr">
        <is>
          <t>Avg Satisfaction Score</t>
        </is>
      </c>
      <c r="B12" t="n">
        <v>6.8</v>
      </c>
      <c r="C12" t="n">
        <v>7.1</v>
      </c>
      <c r="D12" t="n">
        <v>7.4</v>
      </c>
      <c r="E12">
        <f>AVERAGE(B12:D12)</f>
        <v/>
      </c>
      <c r="F12">
        <f>IF(D12&gt;B12,"Up","Down")</f>
        <v/>
      </c>
      <c r="G12">
        <f>(D12-B12)/B12*100</f>
        <v/>
      </c>
      <c r="H12" t="n">
        <v>7.5</v>
      </c>
      <c r="I12">
        <f>IF(D12&gt;=H12,"On Track","Ahead")</f>
        <v/>
      </c>
    </row>
    <row r="13">
      <c r="A13" t="inlineStr">
        <is>
          <t>Training Completion (%)</t>
        </is>
      </c>
      <c r="B13" t="n">
        <v>42</v>
      </c>
      <c r="C13" t="n">
        <v>58</v>
      </c>
      <c r="D13" t="n">
        <v>73</v>
      </c>
      <c r="E13">
        <f>AVERAGE(B13:D13)</f>
        <v/>
      </c>
      <c r="F13">
        <f>IF(D13&gt;B13,"Up","Down")</f>
        <v/>
      </c>
      <c r="G13">
        <f>(D13-B13)/B13*100</f>
        <v/>
      </c>
      <c r="H13" t="n">
        <v>80</v>
      </c>
      <c r="I13">
        <f>IF(D13&gt;=H13,"On Track","Behind")</f>
        <v/>
      </c>
    </row>
    <row r="14">
      <c r="A14" t="inlineStr">
        <is>
          <t>Support Tickets (AI-related)</t>
        </is>
      </c>
      <c r="B14" t="n">
        <v>145</v>
      </c>
      <c r="C14" t="n">
        <v>98</v>
      </c>
      <c r="D14" t="n">
        <v>68</v>
      </c>
      <c r="E14">
        <f>AVERAGE(B14:D14)</f>
        <v/>
      </c>
      <c r="F14">
        <f>IF(D14&lt;B14,"Down","Up")</f>
        <v/>
      </c>
      <c r="G14">
        <f>(D14-B14)/B14*100</f>
        <v/>
      </c>
      <c r="H14" t="n">
        <v>50</v>
      </c>
      <c r="I14">
        <f>IF(D14&lt;=H14,"On Track","Ahead")</f>
        <v/>
      </c>
    </row>
    <row r="15">
      <c r="A15" t="inlineStr">
        <is>
          <t>Feature Requests</t>
        </is>
      </c>
      <c r="B15" t="n">
        <v>28</v>
      </c>
      <c r="C15" t="n">
        <v>35</v>
      </c>
      <c r="D15" t="n">
        <v>42</v>
      </c>
      <c r="E15">
        <f>AVERAGE(B15:D15)</f>
        <v/>
      </c>
      <c r="F15">
        <f>IF(D15&gt;B15,"Up","Down")</f>
        <v/>
      </c>
      <c r="G15">
        <f>(D15-B15)/B15*100</f>
        <v/>
      </c>
      <c r="H15" t="n">
        <v>50</v>
      </c>
      <c r="I15">
        <f>IF(D15&gt;=H15,"On Track","Behind")</f>
        <v/>
      </c>
    </row>
    <row r="16">
      <c r="A16" t="inlineStr">
        <is>
          <t>Active Users Count</t>
        </is>
      </c>
      <c r="B16" t="n">
        <v>218</v>
      </c>
      <c r="C16" t="n">
        <v>245</v>
      </c>
      <c r="D16" t="n">
        <v>268</v>
      </c>
      <c r="E16">
        <f>AVERAGE(B16:D16)</f>
        <v/>
      </c>
      <c r="F16">
        <f>IF(D16&gt;B16,"Up","Down")</f>
        <v/>
      </c>
      <c r="G16">
        <f>(D16-B16)/B16*100</f>
        <v/>
      </c>
      <c r="H16" t="n">
        <v>300</v>
      </c>
      <c r="I16">
        <f>IF(D16&gt;=H16,"On Track","Behind")</f>
        <v/>
      </c>
    </row>
    <row r="17">
      <c r="A17" t="inlineStr">
        <is>
          <t>Daily Active Usage (hrs)</t>
        </is>
      </c>
      <c r="B17" t="n">
        <v>2.8</v>
      </c>
      <c r="C17" t="n">
        <v>3.1</v>
      </c>
      <c r="D17" t="n">
        <v>3.4</v>
      </c>
      <c r="E17">
        <f>AVERAGE(B17:D17)</f>
        <v/>
      </c>
      <c r="F17">
        <f>IF(D17&gt;B17,"Up","Down")</f>
        <v/>
      </c>
      <c r="G17">
        <f>(D17-B17)/B17*100</f>
        <v/>
      </c>
      <c r="H17" t="n">
        <v>3.8</v>
      </c>
      <c r="I17">
        <f>IF(D17&gt;=H17,"On Track","Behind")</f>
        <v/>
      </c>
    </row>
    <row r="18">
      <c r="A18" t="inlineStr">
        <is>
          <t>Code Quality Score</t>
        </is>
      </c>
      <c r="B18" t="n">
        <v>7.2</v>
      </c>
      <c r="C18" t="n">
        <v>7.5</v>
      </c>
      <c r="D18" t="n">
        <v>7.8</v>
      </c>
      <c r="E18">
        <f>AVERAGE(B18:D18)</f>
        <v/>
      </c>
      <c r="F18">
        <f>IF(D18&gt;B18,"Up","Down")</f>
        <v/>
      </c>
      <c r="G18">
        <f>(D18-B18)/B18*100</f>
        <v/>
      </c>
      <c r="H18" t="n">
        <v>8</v>
      </c>
      <c r="I18">
        <f>IF(D18&gt;=H18,"On Track","Behind")</f>
        <v/>
      </c>
    </row>
    <row r="19">
      <c r="A19" t="inlineStr">
        <is>
          <t>Time to Market (days)</t>
        </is>
      </c>
      <c r="B19" t="n">
        <v>42</v>
      </c>
      <c r="C19" t="n">
        <v>38</v>
      </c>
      <c r="D19" t="n">
        <v>34</v>
      </c>
      <c r="E19">
        <f>AVERAGE(B19:D19)</f>
        <v/>
      </c>
      <c r="F19">
        <f>IF(D19&lt;B19,"Down","Up")</f>
        <v/>
      </c>
      <c r="G19">
        <f>(D19-B19)/B19*100</f>
        <v/>
      </c>
      <c r="H19" t="n">
        <v>30</v>
      </c>
      <c r="I19">
        <f>IF(D19&lt;=H19,"On Track","Ahead")</f>
        <v/>
      </c>
    </row>
    <row r="20">
      <c r="A20" t="inlineStr">
        <is>
          <t>Employee Confidence</t>
        </is>
      </c>
      <c r="B20" t="n">
        <v>6.2</v>
      </c>
      <c r="C20" t="n">
        <v>6.8</v>
      </c>
      <c r="D20" t="n">
        <v>7.2</v>
      </c>
      <c r="E20">
        <f>AVERAGE(B20:D20)</f>
        <v/>
      </c>
      <c r="F20">
        <f>IF(D20&gt;B20,"Up","Down")</f>
        <v/>
      </c>
      <c r="G20">
        <f>(D20-B20)/B20*100</f>
        <v/>
      </c>
      <c r="H20" t="n">
        <v>7.5</v>
      </c>
      <c r="I20">
        <f>IF(D20&gt;=H20,"On Track","Behind")</f>
        <v/>
      </c>
    </row>
    <row r="21">
      <c r="A21" t="inlineStr">
        <is>
          <t>ROI (%)</t>
        </is>
      </c>
      <c r="B21" t="n">
        <v>245</v>
      </c>
      <c r="C21" t="n">
        <v>252</v>
      </c>
      <c r="D21" t="n">
        <v>259</v>
      </c>
      <c r="E21">
        <f>AVERAGE(B21:D21)</f>
        <v/>
      </c>
      <c r="F21">
        <f>IF(D21&gt;B21,"Up","Down")</f>
        <v/>
      </c>
      <c r="G21">
        <f>(D21-B21)/B21*100</f>
        <v/>
      </c>
      <c r="H21" t="n">
        <v>275</v>
      </c>
      <c r="I21">
        <f>IF(D21&gt;=H21,"On Track","Behind")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2026-01-14T11:09:07Z</dcterms:created>
  <dcterms:modified xmlns:dcterms="http://purl.org/dc/terms/" xmlns:xsi="http://www.w3.org/2001/XMLSchema-instance" xsi:type="dcterms:W3CDTF">2026-01-14T11:09:07Z</dcterms:modified>
</cp:coreProperties>
</file>